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" sheetId="1" state="visible" r:id="rId3"/>
    <sheet name="PEL" sheetId="2" state="visible" r:id="rId4"/>
  </sheets>
  <calcPr iterateCount="100" refMode="A1" iterate="true" iterateDelta="1E-006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5" authorId="0">
      <text>
        <r>
          <rPr>
            <sz val="10"/>
            <rFont val="Arial"/>
            <family val="2"/>
          </rPr>
          <t xml:space="preserve">Input from the Thermal subsystem (survival heater sizing). In the full team workbook this cell was linked live to the Thermal sheet; frozen here as a fixed value.</t>
        </r>
      </text>
    </comment>
  </commentList>
</comments>
</file>

<file path=xl/sharedStrings.xml><?xml version="1.0" encoding="utf-8"?>
<sst xmlns="http://schemas.openxmlformats.org/spreadsheetml/2006/main" count="591" uniqueCount="305">
  <si>
    <t xml:space="preserve">MAE 161C — SATELLITE CHASERS  |  EPS SIZING  </t>
  </si>
  <si>
    <t xml:space="preserve">SECTION 0 — Inputs </t>
  </si>
  <si>
    <t xml:space="preserve">0.1  Orbital inputs</t>
  </si>
  <si>
    <t xml:space="preserve">Parameter</t>
  </si>
  <si>
    <t xml:space="preserve">Value</t>
  </si>
  <si>
    <t xml:space="preserve">Unit</t>
  </si>
  <si>
    <t xml:space="preserve">Formula / Notes</t>
  </si>
  <si>
    <t xml:space="preserve">Source</t>
  </si>
  <si>
    <t xml:space="preserve">Earth radius Re</t>
  </si>
  <si>
    <t xml:space="preserve">km</t>
  </si>
  <si>
    <t xml:space="preserve">Gravitational param μ</t>
  </si>
  <si>
    <t xml:space="preserve">km³/s²</t>
  </si>
  <si>
    <t xml:space="preserve">Orbit altitude h</t>
  </si>
  <si>
    <t xml:space="preserve">Defined by the mission trajectory subsystem</t>
  </si>
  <si>
    <t xml:space="preserve">Beta angle β (worst case)</t>
  </si>
  <si>
    <t xml:space="preserve">deg</t>
  </si>
  <si>
    <t xml:space="preserve"> β = 0° gives maximum eclipse duration  (worst case scenario)</t>
  </si>
  <si>
    <t xml:space="preserve">Mission lifetime</t>
  </si>
  <si>
    <t xml:space="preserve">yr</t>
  </si>
  <si>
    <t xml:space="preserve">Project requirements - note: Expected mission duration is ~1 year, but project requirements set a 5-year design life; therefore, the power system is sized accordingly.</t>
  </si>
  <si>
    <t xml:space="preserve">Solar irradiance</t>
  </si>
  <si>
    <t xml:space="preserve">W/m²</t>
  </si>
  <si>
    <t xml:space="preserve">Solar constant at 1 AU. Standard physical value.</t>
  </si>
  <si>
    <t xml:space="preserve">0.2  Solar array inputs — Selected cell: Azur Space 3G30C-Advanced</t>
  </si>
  <si>
    <t xml:space="preserve">Source / Link</t>
  </si>
  <si>
    <t xml:space="preserve">Cell efficiency BOL</t>
  </si>
  <si>
    <t xml:space="preserve">—</t>
  </si>
  <si>
    <t xml:space="preserve">BOL efficiency taken directly from Azur Space 3G30C-Advanced datasheet on table Typical Electrical Performance, row η (1367 W/m²), column BOL Cell: 29.5%.</t>
  </si>
  <si>
    <t xml:space="preserve">30% Triple-Junction (TJ) - III-V Bare Solar Cells &amp; Assemblies</t>
  </si>
  <si>
    <t xml:space="preserve">Packing factor</t>
  </si>
  <si>
    <t xml:space="preserve">Fraction of panel area covered by solar cells. Using 90% as used by NASA</t>
  </si>
  <si>
    <t xml:space="preserve">Spacecraft Electrical Power Systems</t>
  </si>
  <si>
    <t xml:space="preserve">Cell EOL efficiency factor  (1 yr, 550 km LEO)</t>
  </si>
  <si>
    <t xml:space="preserve">EOL efficiency factor taken directly from Azur Space 3G30C-Advanced datasheet table 'Typical Electrical Performance', row η (1367 W/m²). We use fluence column 1×10¹⁵ e⁻/cm² (1 MeV electrons) as a conservative design choice; this is the highest fluence column in the datasheet applicable to LEO missions, giving the lowest EOL efficiency and therefore the largest required array area. η = 27.1% (Cell) → EOL factor = 27.1 / 29.5 = 0.919."</t>
  </si>
  <si>
    <t xml:space="preserve">Sunlight path eff. Xe</t>
  </si>
  <si>
    <t xml:space="preserve">Estimate: Efficiency of the sunlight power path (solar array output → PCDU → load). Accounts for losses between array and load. Value 0.85 is the upper end of the typical range for LEO deployable GaAs arrays. </t>
  </si>
  <si>
    <t xml:space="preserve">Eclipse path eff. Xd</t>
  </si>
  <si>
    <t xml:space="preserve">Efficiency of the eclipse power path (battery → PCDU → load). Set equal to PCDU conversion efficiency (96%, S3R topology). Battery discharge losses assumed covered by the 15% battery safety margin applied </t>
  </si>
  <si>
    <t xml:space="preserve">Approximation</t>
  </si>
  <si>
    <t xml:space="preserve">Number of wings</t>
  </si>
  <si>
    <t xml:space="preserve">0.3  Battery &amp; PCDU inputs — Selected: Saft VES16 (battery) + Terma PCDU (S3R, 96% eff.)</t>
  </si>
  <si>
    <t xml:space="preserve">Max depth of discharge</t>
  </si>
  <si>
    <t xml:space="preserve">The Depth of Discharge (DoD) for LEO operation is assumed to be 30%, based on a Saft VES16 presentation, which states that LEO satellite batteries are typically designed for 20–40% DoD. 30% is used as a conservative value. This means the battery can discharge down to 30%.</t>
  </si>
  <si>
    <t xml:space="preserve">VES16 Batteries for LEO and GEO Satellites Dr. Y.Borthomieu, Dr. V.Armel B. Le Guern</t>
  </si>
  <si>
    <t xml:space="preserve">Battery EOL capacity factor  (1 yr, 30% DoD)</t>
  </si>
  <si>
    <t xml:space="preserve">Estimation: EOL capacity factor for the battery after 5 years at 30% DoD. Saft VES16 SPW 2019 slide 9 shows measured real-time cycling data: '12% energy loss for 12 years LEO mission at 30% DoD'. We can do an interpolation for 5 years: assuming linear fade → 12% × (5/12) = 5% loss → factor = 0.95. Linear interpolarion should be a good enough estimate.</t>
  </si>
  <si>
    <t xml:space="preserve">Battery safety margin</t>
  </si>
  <si>
    <t xml:space="preserve">15% safety margin added on top of the EOL-sized battery capacity. </t>
  </si>
  <si>
    <t xml:space="preserve">Li-ion energy density</t>
  </si>
  <si>
    <t xml:space="preserve">Wh/kg</t>
  </si>
  <si>
    <t xml:space="preserve">Minimum specific energy taken directly from Saft VES16 SPW 2019, slide 3 ('VES16 cell main features' table): 'Specific energy &gt; 155 Wh/kg'.</t>
  </si>
  <si>
    <t xml:space="preserve">PCDU efficiency</t>
  </si>
  <si>
    <t xml:space="preserve">The S3R used in the Terma PCDU has an estimated efficiency of about 96%, based on a 2021 MDPI Energies paper. Terma does not publish an exact efficiency value, but since their PCDU uses the same S3R architecture, we use 96% as its reasonable.</t>
  </si>
  <si>
    <t xml:space="preserve">Power Bus Management Techniques for Space Missions in Low Earth Orbit -- 'Thus, efficiency can be larger than 96%, depending on the bus voltage.'</t>
  </si>
  <si>
    <t xml:space="preserve">SECTION 1 — Power demands </t>
  </si>
  <si>
    <t xml:space="preserve">1.1  Mode totals</t>
  </si>
  <si>
    <t xml:space="preserve">Thrusting  (solar array driver ←)</t>
  </si>
  <si>
    <t xml:space="preserve">W</t>
  </si>
  <si>
    <t xml:space="preserve">(MEV of mode - PCDU losses)*1.3</t>
  </si>
  <si>
    <t xml:space="preserve">Cross-reference to PEL sheet. PCDU losses subtracted: already accounted for in the SMAD sizing via Xe/Xd. Counting them as a load too would double-count.</t>
  </si>
  <si>
    <t xml:space="preserve">Eclipse  (battery driver ←)</t>
  </si>
  <si>
    <t xml:space="preserve">Rendezvous</t>
  </si>
  <si>
    <t xml:space="preserve">Imaging</t>
  </si>
  <si>
    <t xml:space="preserve">Refueling</t>
  </si>
  <si>
    <t xml:space="preserve">Nominal</t>
  </si>
  <si>
    <t xml:space="preserve">Downlink</t>
  </si>
  <si>
    <t xml:space="preserve">Standby</t>
  </si>
  <si>
    <t xml:space="preserve">Safe mode</t>
  </si>
  <si>
    <t xml:space="preserve">SECTION 2 — Orbital mechanics &amp; eclipse</t>
  </si>
  <si>
    <t xml:space="preserve">2.1  Orbital period  —  T = 2π × SQRT(r³ / μ)</t>
  </si>
  <si>
    <t xml:space="preserve">Orbital radius  r = Re + h</t>
  </si>
  <si>
    <t xml:space="preserve"> = Re + h</t>
  </si>
  <si>
    <t xml:space="preserve">Kepler</t>
  </si>
  <si>
    <t xml:space="preserve">Orbital period  T</t>
  </si>
  <si>
    <t xml:space="preserve">s</t>
  </si>
  <si>
    <t xml:space="preserve"> = 2π × SQRT(r³/μ)</t>
  </si>
  <si>
    <t xml:space="preserve">Kepler's 3rd Law</t>
  </si>
  <si>
    <t xml:space="preserve">min</t>
  </si>
  <si>
    <t xml:space="preserve"> = T_s / 60  (Design WS uses 95 min ✓)</t>
  </si>
  <si>
    <t xml:space="preserve">Calculated</t>
  </si>
  <si>
    <t xml:space="preserve">Orbits per day</t>
  </si>
  <si>
    <t xml:space="preserve"> = 86400 / T_s</t>
  </si>
  <si>
    <t xml:space="preserve">Total eclipse cycles (mission)</t>
  </si>
  <si>
    <t xml:space="preserve"> = orbits/day × 365 × life  (battery cycle check)</t>
  </si>
  <si>
    <t xml:space="preserve">2.2  Eclipse duration  —  t_ecl = (T/π) × ASIN( COS(β_rad) × Re / r )</t>
  </si>
  <si>
    <t xml:space="preserve">Beta angle in radians</t>
  </si>
  <si>
    <t xml:space="preserve">rad</t>
  </si>
  <si>
    <t xml:space="preserve"> = β_deg × π/180</t>
  </si>
  <si>
    <t xml:space="preserve">Eclipse duration  t_ecl</t>
  </si>
  <si>
    <t xml:space="preserve">Formula from orbital mechanics: t_ecl = (T/π) × ASIN(COS(β_rad) × Re/r).</t>
  </si>
  <si>
    <t xml:space="preserve"> = t_ecl_s / 60  (Design WS D8: 35 min ✓)</t>
  </si>
  <si>
    <t xml:space="preserve">Sunlight duration  t_sun</t>
  </si>
  <si>
    <t xml:space="preserve"> = T_s - t_ecl</t>
  </si>
  <si>
    <t xml:space="preserve"> = t_sun_s / 60</t>
  </si>
  <si>
    <t xml:space="preserve">Eclipse fraction</t>
  </si>
  <si>
    <t xml:space="preserve"> = t_ecl / T  (Design WS D8: 37% ✓)</t>
  </si>
  <si>
    <t xml:space="preserve">SECTION 3 — Solar array sizing  —  SMAD power balance: P_sa = [(P_e×t_ecl/Xd) + (P_d×t_sun/Xe)] / t_sun</t>
  </si>
  <si>
    <t xml:space="preserve">3.1  Array output per m²  (BOL and EOL)</t>
  </si>
  <si>
    <t xml:space="preserve">BOL output per m²</t>
  </si>
  <si>
    <t xml:space="preserve"> = S × η_cell × packing</t>
  </si>
  <si>
    <t xml:space="preserve">EOL degradation factor</t>
  </si>
  <si>
    <t xml:space="preserve">EOL output per m²</t>
  </si>
  <si>
    <t xml:space="preserve"> = BOL_m2 × EOL_factor</t>
  </si>
  <si>
    <t xml:space="preserve">3.2  Required array power and area</t>
  </si>
  <si>
    <t xml:space="preserve">Term 1  =  P_e × t_ecl / Xd</t>
  </si>
  <si>
    <t xml:space="preserve">Ws</t>
  </si>
  <si>
    <t xml:space="preserve"> = eclipse demand × eclipse time / eclipse path eff.</t>
  </si>
  <si>
    <t xml:space="preserve">Intermediate calc</t>
  </si>
  <si>
    <t xml:space="preserve">Term 2  =  P_d × t_sun / Xe</t>
  </si>
  <si>
    <t xml:space="preserve"> = sunlight demand × sunlight time / sunlight path eff.</t>
  </si>
  <si>
    <t xml:space="preserve">Required array power  P_sa</t>
  </si>
  <si>
    <t xml:space="preserve"> = (Term1 + Term2) / t_sun. SMAD power balance</t>
  </si>
  <si>
    <t xml:space="preserve">SMAD Ch.11</t>
  </si>
  <si>
    <t xml:space="preserve">Minimum array area</t>
  </si>
  <si>
    <t xml:space="preserve">m²</t>
  </si>
  <si>
    <t xml:space="preserve"> = P_sa / EOL_output_per_m²</t>
  </si>
  <si>
    <t xml:space="preserve">Area per wing </t>
  </si>
  <si>
    <t xml:space="preserve"> = A_min / n_wings</t>
  </si>
  <si>
    <t xml:space="preserve">Design array area (total)</t>
  </si>
  <si>
    <t xml:space="preserve"> = A_wing × n_wings</t>
  </si>
  <si>
    <t xml:space="preserve">Array BOL power</t>
  </si>
  <si>
    <t xml:space="preserve"> = A_total × BOL_per_m²</t>
  </si>
  <si>
    <t xml:space="preserve">Array EOL power</t>
  </si>
  <si>
    <t xml:space="preserve"> = A_total × EOL_per_m²</t>
  </si>
  <si>
    <t xml:space="preserve">EOL margin over P_sa required</t>
  </si>
  <si>
    <t xml:space="preserve"> = P_EOL / P_sa - 1  0% by design - 30% system margin already applied in PEL</t>
  </si>
  <si>
    <t xml:space="preserve">3.3  Solar array mass</t>
  </si>
  <si>
    <t xml:space="preserve">GaAs cells + substrate</t>
  </si>
  <si>
    <t xml:space="preserve">kg</t>
  </si>
  <si>
    <t xml:space="preserve">Cell + coverglass mass = 1.76 kg/m². Taken from Spectrolab solar panel datasheet: 'Mass (add-on to substrate): 1.76 kg/m² (3 mil ceria-doped coverglass, 5.5 mil thick cell)'. Spectrolab cells use the same GaAs triple-junction technology as Azur Space 3G30C.</t>
  </si>
  <si>
    <t xml:space="preserve">https://www.spectrolab.com/DataSheets/Panel/panels.pdf</t>
  </si>
  <si>
    <t xml:space="preserve">Wing structure + hinges</t>
  </si>
  <si>
    <t xml:space="preserve">Estimate. Panel substrate + hinges structural mass = 1.5 kg/m².</t>
  </si>
  <si>
    <t xml:space="preserve">Estimated</t>
  </si>
  <si>
    <t xml:space="preserve">Deployment mechanisms</t>
  </si>
  <si>
    <t xml:space="preserve">Estimate. Deployment mechanism mass = 5 kg per wing.</t>
  </si>
  <si>
    <t xml:space="preserve">SOLAR ARRAY TOTAL MASS</t>
  </si>
  <si>
    <t xml:space="preserve"> = cells + structure + deploy</t>
  </si>
  <si>
    <t xml:space="preserve">SECTION 4 — Battery sizing  (Li-ion, eclipse energy storage, sized to EOL)</t>
  </si>
  <si>
    <t xml:space="preserve">4.1  Eclipse energy and capacity</t>
  </si>
  <si>
    <t xml:space="preserve">Eclipse energy  E = P_e × t_ecl</t>
  </si>
  <si>
    <t xml:space="preserve">Wh</t>
  </si>
  <si>
    <t xml:space="preserve">Eclipse energy = power demand during eclipse × eclipse duration. This is how much energy the battery must store to power the satellite through one eclipse. Units: W × s / 3600 = Wh.</t>
  </si>
  <si>
    <t xml:space="preserve">Basic energy calculation: E = P × t</t>
  </si>
  <si>
    <t xml:space="preserve">Gross capacity  (÷ DoD)</t>
  </si>
  <si>
    <t xml:space="preserve">Gross battery capacity needed before accounting for DoD (Depth of Discharge; is the percentage of a battery’s total capacity that is allowed to be used before recharging) limit. The battery cannot be fully discharged (DoD = 30%) without damaging the cells. So the actual installed capacity must be: E_ecl / DoD.</t>
  </si>
  <si>
    <t xml:space="preserve">Battery sizing formula from SMAD (Larson &amp; Wertz) Ch.11</t>
  </si>
  <si>
    <t xml:space="preserve">Battery EOL factor  (1-fade)^life</t>
  </si>
  <si>
    <t xml:space="preserve">In coefficient form</t>
  </si>
  <si>
    <t xml:space="preserve">Required BOL capacity</t>
  </si>
  <si>
    <t xml:space="preserve">The battery loses capacity over its lifetime. To still meet the eclipse demand at end of life, the battery must be oversized at beginning of life: E_BOL = E_gross / EOL_factor.</t>
  </si>
  <si>
    <t xml:space="preserve">Design capacity  (+margin)</t>
  </si>
  <si>
    <t xml:space="preserve">Final design capacity = BOL capacity × (1 + safety margin). The safety margin is applied.</t>
  </si>
  <si>
    <t xml:space="preserve">SMAD Ch.11 </t>
  </si>
  <si>
    <t xml:space="preserve">4.2  Cycle life check</t>
  </si>
  <si>
    <t xml:space="preserve">Mission eclipse cycles</t>
  </si>
  <si>
    <t xml:space="preserve"> = orbits/day × 365 × life</t>
  </si>
  <si>
    <t xml:space="preserve">Saft VES16 rated cycle life (LEO-specific)</t>
  </si>
  <si>
    <t xml:space="preserve">Saft VES16 presentation (Space Power Workshop 2019), slide 2: '&gt;60,000 cycles with less than 20% losses'.</t>
  </si>
  <si>
    <t xml:space="preserve">Cycle life margin</t>
  </si>
  <si>
    <t xml:space="preserve">Cycle life check: VES16 rated &gt;60,000 cycles vs. mission requirement cycles. We see that battery survives the full mission with comfortable margin.</t>
  </si>
  <si>
    <t xml:space="preserve">4.3  Battery mass and Volume</t>
  </si>
  <si>
    <t xml:space="preserve">Battery mass</t>
  </si>
  <si>
    <t xml:space="preserve"> = E_design / energy_density</t>
  </si>
  <si>
    <t xml:space="preserve">Battery volume</t>
  </si>
  <si>
    <t xml:space="preserve">cm³</t>
  </si>
  <si>
    <t xml:space="preserve">Estimated 1 cm³ per 5 grams. Data estimated for CAD purposes</t>
  </si>
  <si>
    <t xml:space="preserve">SECTION 5 — PCDU  (Power Control and Distribution Unit)</t>
  </si>
  <si>
    <t xml:space="preserve">5.1  Bus voltage, losses, mass</t>
  </si>
  <si>
    <t xml:space="preserve">Bus voltage</t>
  </si>
  <si>
    <t xml:space="preserve">V</t>
  </si>
  <si>
    <t xml:space="preserve">Terma PCDU supports up to 100V. </t>
  </si>
  <si>
    <t xml:space="preserve">POWER CONDITIONING AND DISTRIBUTION UNITS</t>
  </si>
  <si>
    <t xml:space="preserve">Bus current at EOL</t>
  </si>
  <si>
    <t xml:space="preserve">A</t>
  </si>
  <si>
    <t xml:space="preserve">Bus current = P_EOL / bus voltage. We want to minimize this so it has the lowest intensity posible. Less losses and less harmful. 100V selected for this purpose.</t>
  </si>
  <si>
    <t xml:space="preserve">Ohm's law: I = P/V</t>
  </si>
  <si>
    <t xml:space="preserve">PCDU losses</t>
  </si>
  <si>
    <t xml:space="preserve">Power dissipated as heat in the PCDU = P_EOL × (1 - efficiency).</t>
  </si>
  <si>
    <t xml:space="preserve">Formula: P_loss = P_EOL × (1 - η_PCDU)</t>
  </si>
  <si>
    <t xml:space="preserve">PCDU + harness mass</t>
  </si>
  <si>
    <t xml:space="preserve">Estimated PCDU + harness mass. Terma does not publish PCDU mass in their brochure. Estimate 5kg for PCDU and 15kg for harness</t>
  </si>
  <si>
    <t xml:space="preserve">PCDU volume</t>
  </si>
  <si>
    <t xml:space="preserve">28.316,85</t>
  </si>
  <si>
    <t xml:space="preserve">Estimated PCDU volume - 1 ft³ = 28.316,85 cm³. Data estimated for CAD purposes</t>
  </si>
  <si>
    <t xml:space="preserve">SECTION 6 — Summary</t>
  </si>
  <si>
    <t xml:space="preserve">6.1  Key outputs</t>
  </si>
  <si>
    <t xml:space="preserve">Notes</t>
  </si>
  <si>
    <t xml:space="preserve">Orbital period</t>
  </si>
  <si>
    <t xml:space="preserve">Eclipse duration (worst)</t>
  </si>
  <si>
    <t xml:space="preserve">Solar array total area</t>
  </si>
  <si>
    <t xml:space="preserve">Start of life</t>
  </si>
  <si>
    <t xml:space="preserve">After 1-yr degradation</t>
  </si>
  <si>
    <t xml:space="preserve">Battery design capacity</t>
  </si>
  <si>
    <t xml:space="preserve">Space Li-ion 155 Wh/kg</t>
  </si>
  <si>
    <t xml:space="preserve">Solar array mass</t>
  </si>
  <si>
    <t xml:space="preserve">Cells + structure + deployment</t>
  </si>
  <si>
    <t xml:space="preserve">TOTAL EPS MASS</t>
  </si>
  <si>
    <t xml:space="preserve">Solar + Battery + PCDU</t>
  </si>
  <si>
    <t xml:space="preserve">MAE 161C — SATELLITE CHASERS  |  POWER EQUIPMENT LIST (PEL)  |  Electrical Power System (EPS)</t>
  </si>
  <si>
    <t xml:space="preserve">SECTION 2 — Operational Modes Power Matrix  |  0 = OFF  |  1 = ON  |  Total rows use Excel formulas (change any 0/1 and totals update automatically)</t>
  </si>
  <si>
    <t xml:space="preserve">SECTION 1 — Component Power List with Contingency and Maximum Estimated Value (MEV)</t>
  </si>
  <si>
    <t xml:space="preserve">Subsystem</t>
  </si>
  <si>
    <t xml:space="preserve">Component</t>
  </si>
  <si>
    <t xml:space="preserve">CBE (W)</t>
  </si>
  <si>
    <t xml:space="preserve">Cont. (%)</t>
  </si>
  <si>
    <t xml:space="preserve">MEV (W)</t>
  </si>
  <si>
    <t xml:space="preserve">Thrusting</t>
  </si>
  <si>
    <t xml:space="preserve">Rendezvous
(Proximity)</t>
  </si>
  <si>
    <t xml:space="preserve">Eclipse</t>
  </si>
  <si>
    <t xml:space="preserve">Safe
Mode</t>
  </si>
  <si>
    <t xml:space="preserve">Operating Mode</t>
  </si>
  <si>
    <t xml:space="preserve">CBE (W)
Current Best Estimate</t>
  </si>
  <si>
    <t xml:space="preserve">Contingency (%)</t>
  </si>
  <si>
    <t xml:space="preserve">MEV (W)
Max Estimated Value</t>
  </si>
  <si>
    <t xml:space="preserve">Payload 1 – Imaging</t>
  </si>
  <si>
    <t xml:space="preserve">Mast-Z Camera</t>
  </si>
  <si>
    <t xml:space="preserve">Active only during imaging.</t>
  </si>
  <si>
    <t xml:space="preserve">Imaging mode</t>
  </si>
  <si>
    <t xml:space="preserve">Design Worksheet – Imaging sheet</t>
  </si>
  <si>
    <t xml:space="preserve">Mast-Z Camera (Standby)</t>
  </si>
  <si>
    <t xml:space="preserve">Active all modes except imaging and safe.</t>
  </si>
  <si>
    <t xml:space="preserve">Standby mode</t>
  </si>
  <si>
    <t xml:space="preserve">Estimate</t>
  </si>
  <si>
    <t xml:space="preserve">Innoflight CFC-400 Flight Computer</t>
  </si>
  <si>
    <t xml:space="preserve">CFC-400 Flight Computer (Standby)</t>
  </si>
  <si>
    <t xml:space="preserve">Payload 2 – Refueling</t>
  </si>
  <si>
    <t xml:space="preserve">Propellant Line Heaters</t>
  </si>
  <si>
    <t xml:space="preserve">Active only during refueling.</t>
  </si>
  <si>
    <t xml:space="preserve">Refueling mode</t>
  </si>
  <si>
    <t xml:space="preserve">Design Worksheet – Refueling sheet Sec. 6</t>
  </si>
  <si>
    <t xml:space="preserve">Valve Actuators</t>
  </si>
  <si>
    <t xml:space="preserve">Flow and Pressure Sensors</t>
  </si>
  <si>
    <t xml:space="preserve">Control Electronics Board</t>
  </si>
  <si>
    <t xml:space="preserve">Refueling System (Standby)</t>
  </si>
  <si>
    <t xml:space="preserve">Active all modes except refueling and safe.</t>
  </si>
  <si>
    <t xml:space="preserve">Propulsion</t>
  </si>
  <si>
    <t xml:space="preserve">SPT-100 Hall Thruster</t>
  </si>
  <si>
    <t xml:space="preserve">Active only during Hall thrusting.</t>
  </si>
  <si>
    <t xml:space="preserve">Thrusting mode</t>
  </si>
  <si>
    <t xml:space="preserve">Design Worksheet – Propulsion / Trajectory</t>
  </si>
  <si>
    <t xml:space="preserve">Power Processing Unit (PPU)</t>
  </si>
  <si>
    <t xml:space="preserve">Active only with SPT-100.</t>
  </si>
  <si>
    <t xml:space="preserve">Estimated  around 10% losses of SPT-100</t>
  </si>
  <si>
    <t xml:space="preserve">Attitude Determination and Control System (ADCS)</t>
  </si>
  <si>
    <t xml:space="preserve">Reaction Wheel Motors ×4</t>
  </si>
  <si>
    <t xml:space="preserve">Active in all modes — attitude always required.</t>
  </si>
  <si>
    <t xml:space="preserve">ADCS</t>
  </si>
  <si>
    <t xml:space="preserve">Nominal mode</t>
  </si>
  <si>
    <t xml:space="preserve">ACS Worksheet – Electrical System sheet</t>
  </si>
  <si>
    <t xml:space="preserve">RCS Solenoid Valves ×36</t>
  </si>
  <si>
    <t xml:space="preserve">RCS active during imaging, refueling, thrusting, rendezvous.</t>
  </si>
  <si>
    <t xml:space="preserve">RCS mode</t>
  </si>
  <si>
    <t xml:space="preserve">ACS Worksheet – Fluid System sheet</t>
  </si>
  <si>
    <t xml:space="preserve">RCS Flow Meters ×24</t>
  </si>
  <si>
    <t xml:space="preserve">RCS Pumps ×12</t>
  </si>
  <si>
    <t xml:space="preserve">Gyroscopes ×4</t>
  </si>
  <si>
    <t xml:space="preserve">Active in all modes.</t>
  </si>
  <si>
    <t xml:space="preserve">Estimate </t>
  </si>
  <si>
    <t xml:space="preserve">Star Trackers ×12</t>
  </si>
  <si>
    <t xml:space="preserve">Off during eclipse, safe, and standby.</t>
  </si>
  <si>
    <t xml:space="preserve">Sun Sensors ×12</t>
  </si>
  <si>
    <t xml:space="preserve">Magnetometers ×4</t>
  </si>
  <si>
    <t xml:space="preserve">Active in all modes — low power, always on.</t>
  </si>
  <si>
    <t xml:space="preserve">Telecommunications (Telecom)</t>
  </si>
  <si>
    <t xml:space="preserve">Innoflight SCR-106 X-band Transmitter</t>
  </si>
  <si>
    <t xml:space="preserve">Active only during downlink.</t>
  </si>
  <si>
    <t xml:space="preserve">Telecom</t>
  </si>
  <si>
    <t xml:space="preserve">Downlink mode</t>
  </si>
  <si>
    <t xml:space="preserve">TelecomCDH sheet</t>
  </si>
  <si>
    <t xml:space="preserve">EnduroSat X-band Patch Antenna</t>
  </si>
  <si>
    <t xml:space="preserve">Active with transmitter.</t>
  </si>
  <si>
    <t xml:space="preserve">TelecomCDH sheet </t>
  </si>
  <si>
    <t xml:space="preserve">TT&amp;C Receiver (S-band uplink)</t>
  </si>
  <si>
    <t xml:space="preserve">Always active — commands must be receivable at any time.</t>
  </si>
  <si>
    <t xml:space="preserve">All modes</t>
  </si>
  <si>
    <t xml:space="preserve">Command and Data Handling (C&amp;DH)</t>
  </si>
  <si>
    <t xml:space="preserve">Flight Computer – Nominal</t>
  </si>
  <si>
    <t xml:space="preserve">Always active in normal conditions</t>
  </si>
  <si>
    <t xml:space="preserve">C&amp;DH</t>
  </si>
  <si>
    <t xml:space="preserve">Flight Computer – Safe/Standby</t>
  </si>
  <si>
    <t xml:space="preserve">2 W only in standby and safe mode.</t>
  </si>
  <si>
    <t xml:space="preserve">Safe/Standby mode</t>
  </si>
  <si>
    <t xml:space="preserve">Thermal Control System</t>
  </si>
  <si>
    <t xml:space="preserve">Survival Heaters – Eclipse</t>
  </si>
  <si>
    <t xml:space="preserve">Active only during eclipse.</t>
  </si>
  <si>
    <t xml:space="preserve">Thermal</t>
  </si>
  <si>
    <t xml:space="preserve">Eclipse mode</t>
  </si>
  <si>
    <t xml:space="preserve">Design Worksheet – Thermal sheet</t>
  </si>
  <si>
    <t xml:space="preserve">Thermal Controllers and Sensors</t>
  </si>
  <si>
    <t xml:space="preserve">Active in all modes — continuous monitoring.</t>
  </si>
  <si>
    <t xml:space="preserve">Electrical Power System (EPS)</t>
  </si>
  <si>
    <t xml:space="preserve">Power Control and Distribution Unit (PCDU)</t>
  </si>
  <si>
    <t xml:space="preserve">Active in all modes — continuous DC/DC conversion.</t>
  </si>
  <si>
    <t xml:space="preserve">EPS</t>
  </si>
  <si>
    <t xml:space="preserve">TOTAL CBE per Mode (W)</t>
  </si>
  <si>
    <t xml:space="preserve">CBE × mode flag. Update any 0/1 above and this row recalculates.</t>
  </si>
  <si>
    <t xml:space="preserve">TOTAL MEV per Mode (W)</t>
  </si>
  <si>
    <t xml:space="preserve">MEV × mode flag. Reflects contingency per component.</t>
  </si>
  <si>
    <t xml:space="preserve">TOTAL MEV + 30% System Margin (W)</t>
  </si>
  <si>
    <t xml:space="preserve">MEV × 1.30 system margin</t>
  </si>
  <si>
    <t xml:space="preserve">TOTAL CBE per Mode for Closed System (W)</t>
  </si>
  <si>
    <t xml:space="preserve">CBE × mode flag - Power leaving the system</t>
  </si>
  <si>
    <t xml:space="preserve">TOTAL Power into Thermal Energy per Mode (W)</t>
  </si>
  <si>
    <t xml:space="preserve">CBE × mode flag - Power leaving the system - Heater Power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</si>
</sst>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%"/>
    <numFmt numFmtId="167" formatCode="0%"/>
    <numFmt numFmtId="168" formatCode="0.000"/>
    <numFmt numFmtId="169" formatCode="0.00"/>
    <numFmt numFmtId="170" formatCode="0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theme="1"/>
      <name val="Arial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9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404040"/>
      <name val="Arial"/>
      <family val="0"/>
      <charset val="1"/>
    </font>
    <font>
      <u val="single"/>
      <sz val="9"/>
      <color rgb="FF40404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843C0C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theme="1"/>
      <name val="Arial"/>
      <family val="0"/>
      <charset val="1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DEEFF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FF0A2"/>
      </patternFill>
    </fill>
    <fill>
      <patternFill patternType="solid">
        <fgColor rgb="FFF2F2F2"/>
        <bgColor rgb="FFEFEFEF"/>
      </patternFill>
    </fill>
    <fill>
      <patternFill patternType="solid">
        <fgColor rgb="FFFFF0A2"/>
        <bgColor rgb="FFFFF2CC"/>
      </patternFill>
    </fill>
    <fill>
      <patternFill patternType="solid">
        <fgColor rgb="FFE2EFDA"/>
        <bgColor rgb="FFEFEFEF"/>
      </patternFill>
    </fill>
    <fill>
      <patternFill patternType="solid">
        <fgColor rgb="FFDDEEFF"/>
        <bgColor rgb="FFD6E4F0"/>
      </patternFill>
    </fill>
    <fill>
      <patternFill patternType="solid">
        <fgColor rgb="FFFCE4D6"/>
        <bgColor rgb="FFFCE5CD"/>
      </patternFill>
    </fill>
    <fill>
      <patternFill patternType="solid">
        <fgColor rgb="FFFF0000"/>
        <bgColor rgb="FF800000"/>
      </patternFill>
    </fill>
    <fill>
      <patternFill patternType="solid">
        <fgColor rgb="FFEFEFEF"/>
        <bgColor rgb="FFF2F2F2"/>
      </patternFill>
    </fill>
    <fill>
      <patternFill patternType="solid">
        <fgColor rgb="FFFCE5CD"/>
        <bgColor rgb="FFFCE4D6"/>
      </patternFill>
    </fill>
    <fill>
      <patternFill patternType="solid">
        <fgColor rgb="FFFFF2CC"/>
        <bgColor rgb="FFFCE5CD"/>
      </patternFill>
    </fill>
    <fill>
      <patternFill patternType="solid">
        <fgColor rgb="FFFFE0E0"/>
        <bgColor rgb="FFFCE4D6"/>
      </patternFill>
    </fill>
    <fill>
      <patternFill patternType="solid">
        <fgColor rgb="FFF4CCCC"/>
        <bgColor rgb="FFFFE0E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BBFC4"/>
      </left>
      <right style="thin">
        <color rgb="FFBBBFC4"/>
      </right>
      <top style="thin">
        <color rgb="FFBBBFC4"/>
      </top>
      <bottom style="thin">
        <color rgb="FFBBBFC4"/>
      </bottom>
      <diagonal/>
    </border>
    <border diagonalUp="false" diagonalDown="false">
      <left style="thin">
        <color rgb="FFBBBFC4"/>
      </left>
      <right style="thin">
        <color rgb="FFBBBFC4"/>
      </right>
      <top style="thin">
        <color rgb="FFBBBFC4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BBFC4"/>
      </left>
      <right/>
      <top style="thin">
        <color rgb="FFBBBFC4"/>
      </top>
      <bottom style="thin">
        <color rgb="FFBBBFC4"/>
      </bottom>
      <diagonal/>
    </border>
    <border diagonalUp="false" diagonalDown="false">
      <left/>
      <right/>
      <top style="thin">
        <color rgb="FFBBBFC4"/>
      </top>
      <bottom style="thin">
        <color rgb="FFBBBFC4"/>
      </bottom>
      <diagonal/>
    </border>
    <border diagonalUp="false" diagonalDown="false">
      <left/>
      <right style="thin">
        <color rgb="FFBBBFC4"/>
      </right>
      <top style="thin">
        <color rgb="FFBBBFC4"/>
      </top>
      <bottom style="thin">
        <color rgb="FFBBB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11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9" fillId="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9" fillId="1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9" fillId="1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E5C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FC4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A"/>
      <rgbColor rgb="FFFFF0A2"/>
      <rgbColor rgb="FFF2F2F2"/>
      <rgbColor rgb="FFFFE0E0"/>
      <rgbColor rgb="FFFCE4D6"/>
      <rgbColor rgb="FFF4CCCC"/>
      <rgbColor rgb="FF2E75B6"/>
      <rgbColor rgb="FF33CCCC"/>
      <rgbColor rgb="FF99CC00"/>
      <rgbColor rgb="FFFFD966"/>
      <rgbColor rgb="FFFF9900"/>
      <rgbColor rgb="FFFF6600"/>
      <rgbColor rgb="FF595959"/>
      <rgbColor rgb="FFB7B7B7"/>
      <rgbColor rgb="FF1F3864"/>
      <rgbColor rgb="FF339966"/>
      <rgbColor rgb="FF003300"/>
      <rgbColor rgb="FF375623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46</xdr:row>
      <xdr:rowOff>33480</xdr:rowOff>
    </xdr:from>
    <xdr:to>
      <xdr:col>5</xdr:col>
      <xdr:colOff>894960</xdr:colOff>
      <xdr:row>47</xdr:row>
      <xdr:rowOff>33120</xdr:rowOff>
    </xdr:to>
    <xdr:pic>
      <xdr:nvPicPr>
        <xdr:cNvPr id="0" name="image2.png" descr=""/>
        <xdr:cNvPicPr/>
      </xdr:nvPicPr>
      <xdr:blipFill>
        <a:blip r:embed="rId1"/>
        <a:stretch/>
      </xdr:blipFill>
      <xdr:spPr>
        <a:xfrm>
          <a:off x="12538080" y="12601440"/>
          <a:ext cx="894960" cy="199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zurspace.com/media/uploads/file_links/file/bdb_00010891-01-00_tj3g30-advanced_4x8.pdf" TargetMode="External"/><Relationship Id="rId2" Type="http://schemas.openxmlformats.org/officeDocument/2006/relationships/hyperlink" Target="https://ntrs.nasa.gov/api/citations/20180007969/downloads/20180007969.pdf" TargetMode="External"/><Relationship Id="rId3" Type="http://schemas.openxmlformats.org/officeDocument/2006/relationships/hyperlink" Target="https://www.azurspace.com/media/uploads/file_links/file/bdb_00010891-01-00_tj3g30-advanced_4x8.pdf" TargetMode="External"/><Relationship Id="rId4" Type="http://schemas.openxmlformats.org/officeDocument/2006/relationships/hyperlink" Target="https://ntrs.nasa.gov/api/citations/20180007969/downloads/20180007969.pdf" TargetMode="External"/><Relationship Id="rId5" Type="http://schemas.openxmlformats.org/officeDocument/2006/relationships/hyperlink" Target="https://spw.aerospace.org/files/2021/07/2019_04_02_IV-e_Borthomieu.pdf" TargetMode="External"/><Relationship Id="rId6" Type="http://schemas.openxmlformats.org/officeDocument/2006/relationships/hyperlink" Target="https://spw.aerospace.org/files/2021/07/2019_04_02_IV-e_Borthomieu.pdf" TargetMode="External"/><Relationship Id="rId7" Type="http://schemas.openxmlformats.org/officeDocument/2006/relationships/hyperlink" Target="https://spw.aerospace.org/files/2021/07/2019_04_02_IV-e_Borthomieu.pdf" TargetMode="External"/><Relationship Id="rId8" Type="http://schemas.openxmlformats.org/officeDocument/2006/relationships/hyperlink" Target="https://www.mdpi.com/1996-1073/14/23/7932" TargetMode="External"/><Relationship Id="rId9" Type="http://schemas.openxmlformats.org/officeDocument/2006/relationships/hyperlink" Target="https://www.azurspace.com/media/uploads/file_links/file/bdb_00010891-01-00_tj3g30-advanced_4x8.pdf" TargetMode="External"/><Relationship Id="rId10" Type="http://schemas.openxmlformats.org/officeDocument/2006/relationships/hyperlink" Target="https://www.spectrolab.com/DataSheets/Panel/panels.pdf" TargetMode="External"/><Relationship Id="rId11" Type="http://schemas.openxmlformats.org/officeDocument/2006/relationships/hyperlink" Target="https://spw.aerospace.org/files/2021/07/2019_04_02_IV-e_Borthomieu.pdf" TargetMode="External"/><Relationship Id="rId12" Type="http://schemas.openxmlformats.org/officeDocument/2006/relationships/hyperlink" Target="https://www.terma.com/media/fpfjapsa/brochure-terma-space-power-conditioning-and-distribution-units-a4.pdf" TargetMode="External"/><Relationship Id="rId1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6.38"/>
    <col collapsed="false" customWidth="true" hidden="false" outlineLevel="0" max="2" min="2" style="0" width="9.75"/>
    <col collapsed="false" customWidth="true" hidden="false" outlineLevel="0" max="3" min="3" style="0" width="5.25"/>
    <col collapsed="false" customWidth="true" hidden="false" outlineLevel="0" max="4" min="4" style="0" width="63.38"/>
    <col collapsed="false" customWidth="true" hidden="false" outlineLevel="0" max="5" min="5" style="0" width="63.13"/>
    <col collapsed="false" customWidth="true" hidden="false" outlineLevel="0" max="26" min="6" style="0" width="63.3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15.75" hidden="false" customHeight="false" outlineLevel="0" collapsed="false">
      <c r="A4" s="4" t="s">
        <v>3</v>
      </c>
      <c r="B4" s="5" t="s">
        <v>4</v>
      </c>
      <c r="C4" s="4" t="s">
        <v>5</v>
      </c>
      <c r="D4" s="6" t="s">
        <v>6</v>
      </c>
      <c r="E4" s="6" t="s">
        <v>7</v>
      </c>
    </row>
    <row r="5" customFormat="false" ht="15.75" hidden="false" customHeight="false" outlineLevel="0" collapsed="false">
      <c r="A5" s="7" t="s">
        <v>8</v>
      </c>
      <c r="B5" s="8" t="n">
        <v>6371</v>
      </c>
      <c r="C5" s="9" t="s">
        <v>9</v>
      </c>
      <c r="D5" s="10"/>
      <c r="E5" s="10"/>
    </row>
    <row r="6" customFormat="false" ht="15.75" hidden="false" customHeight="false" outlineLevel="0" collapsed="false">
      <c r="A6" s="7" t="s">
        <v>10</v>
      </c>
      <c r="B6" s="8" t="n">
        <v>398600</v>
      </c>
      <c r="C6" s="9" t="s">
        <v>11</v>
      </c>
      <c r="D6" s="10"/>
      <c r="E6" s="10"/>
    </row>
    <row r="7" customFormat="false" ht="15.75" hidden="false" customHeight="false" outlineLevel="0" collapsed="false">
      <c r="A7" s="7" t="s">
        <v>12</v>
      </c>
      <c r="B7" s="8" t="n">
        <v>550</v>
      </c>
      <c r="C7" s="9" t="s">
        <v>9</v>
      </c>
      <c r="D7" s="11" t="s">
        <v>13</v>
      </c>
      <c r="E7" s="10"/>
    </row>
    <row r="8" customFormat="false" ht="15.75" hidden="false" customHeight="false" outlineLevel="0" collapsed="false">
      <c r="A8" s="7" t="s">
        <v>14</v>
      </c>
      <c r="B8" s="8" t="n">
        <v>0</v>
      </c>
      <c r="C8" s="9" t="s">
        <v>15</v>
      </c>
      <c r="D8" s="11" t="s">
        <v>16</v>
      </c>
      <c r="E8" s="10"/>
    </row>
    <row r="9" customFormat="false" ht="32.8" hidden="false" customHeight="false" outlineLevel="0" collapsed="false">
      <c r="A9" s="7" t="s">
        <v>17</v>
      </c>
      <c r="B9" s="12" t="n">
        <v>5</v>
      </c>
      <c r="C9" s="9" t="s">
        <v>18</v>
      </c>
      <c r="D9" s="13" t="s">
        <v>19</v>
      </c>
      <c r="E9" s="10"/>
    </row>
    <row r="10" customFormat="false" ht="15.75" hidden="false" customHeight="false" outlineLevel="0" collapsed="false">
      <c r="A10" s="7" t="s">
        <v>20</v>
      </c>
      <c r="B10" s="8" t="n">
        <v>1360</v>
      </c>
      <c r="C10" s="9" t="s">
        <v>21</v>
      </c>
      <c r="D10" s="11" t="s">
        <v>22</v>
      </c>
      <c r="E10" s="10"/>
    </row>
    <row r="11" customFormat="false" ht="15.75" hidden="false" customHeight="true" outlineLevel="0" collapsed="false">
      <c r="A11" s="3" t="s">
        <v>23</v>
      </c>
      <c r="B11" s="3"/>
      <c r="C11" s="3"/>
      <c r="D11" s="3"/>
      <c r="E11" s="3"/>
    </row>
    <row r="12" customFormat="false" ht="15.75" hidden="false" customHeight="false" outlineLevel="0" collapsed="false">
      <c r="A12" s="4" t="s">
        <v>3</v>
      </c>
      <c r="B12" s="4" t="s">
        <v>4</v>
      </c>
      <c r="C12" s="4" t="s">
        <v>5</v>
      </c>
      <c r="D12" s="6" t="s">
        <v>6</v>
      </c>
      <c r="E12" s="6" t="s">
        <v>24</v>
      </c>
    </row>
    <row r="13" customFormat="false" ht="22.35" hidden="false" customHeight="false" outlineLevel="0" collapsed="false">
      <c r="A13" s="7" t="s">
        <v>25</v>
      </c>
      <c r="B13" s="14" t="n">
        <v>0.295</v>
      </c>
      <c r="C13" s="9" t="s">
        <v>26</v>
      </c>
      <c r="D13" s="11" t="s">
        <v>27</v>
      </c>
      <c r="E13" s="15" t="s">
        <v>28</v>
      </c>
    </row>
    <row r="14" customFormat="false" ht="15.75" hidden="false" customHeight="false" outlineLevel="0" collapsed="false">
      <c r="A14" s="7" t="s">
        <v>29</v>
      </c>
      <c r="B14" s="16" t="n">
        <v>0.9</v>
      </c>
      <c r="C14" s="9" t="s">
        <v>26</v>
      </c>
      <c r="D14" s="11" t="s">
        <v>30</v>
      </c>
      <c r="E14" s="17" t="s">
        <v>31</v>
      </c>
    </row>
    <row r="15" customFormat="false" ht="64.15" hidden="false" customHeight="false" outlineLevel="0" collapsed="false">
      <c r="A15" s="7" t="s">
        <v>32</v>
      </c>
      <c r="B15" s="18" t="n">
        <v>0.919</v>
      </c>
      <c r="C15" s="9" t="s">
        <v>26</v>
      </c>
      <c r="D15" s="11" t="s">
        <v>33</v>
      </c>
      <c r="E15" s="17" t="s">
        <v>28</v>
      </c>
      <c r="F15" s="19"/>
    </row>
    <row r="16" customFormat="false" ht="32.8" hidden="false" customHeight="false" outlineLevel="0" collapsed="false">
      <c r="A16" s="7" t="s">
        <v>34</v>
      </c>
      <c r="B16" s="16" t="n">
        <v>0.85</v>
      </c>
      <c r="C16" s="9" t="s">
        <v>26</v>
      </c>
      <c r="D16" s="11" t="s">
        <v>35</v>
      </c>
      <c r="E16" s="17" t="s">
        <v>31</v>
      </c>
    </row>
    <row r="17" customFormat="false" ht="32.8" hidden="false" customHeight="false" outlineLevel="0" collapsed="false">
      <c r="A17" s="7" t="s">
        <v>36</v>
      </c>
      <c r="B17" s="16" t="n">
        <v>0.96</v>
      </c>
      <c r="C17" s="9" t="s">
        <v>26</v>
      </c>
      <c r="D17" s="11" t="s">
        <v>37</v>
      </c>
      <c r="E17" s="20" t="s">
        <v>38</v>
      </c>
    </row>
    <row r="18" customFormat="false" ht="15.75" hidden="false" customHeight="false" outlineLevel="0" collapsed="false">
      <c r="A18" s="7" t="s">
        <v>39</v>
      </c>
      <c r="B18" s="21" t="n">
        <v>2</v>
      </c>
      <c r="C18" s="9" t="s">
        <v>26</v>
      </c>
      <c r="D18" s="11"/>
      <c r="E18" s="20"/>
    </row>
    <row r="19" customFormat="false" ht="15.75" hidden="false" customHeight="true" outlineLevel="0" collapsed="false">
      <c r="A19" s="3" t="s">
        <v>40</v>
      </c>
      <c r="B19" s="3"/>
      <c r="C19" s="3"/>
      <c r="D19" s="3"/>
      <c r="E19" s="3"/>
    </row>
    <row r="20" customFormat="false" ht="15.75" hidden="false" customHeight="false" outlineLevel="0" collapsed="false">
      <c r="A20" s="4" t="s">
        <v>3</v>
      </c>
      <c r="B20" s="4" t="s">
        <v>4</v>
      </c>
      <c r="C20" s="4" t="s">
        <v>5</v>
      </c>
      <c r="D20" s="6" t="s">
        <v>6</v>
      </c>
      <c r="E20" s="6" t="s">
        <v>7</v>
      </c>
    </row>
    <row r="21" customFormat="false" ht="43.25" hidden="false" customHeight="false" outlineLevel="0" collapsed="false">
      <c r="A21" s="7" t="s">
        <v>41</v>
      </c>
      <c r="B21" s="22" t="n">
        <v>0.7</v>
      </c>
      <c r="C21" s="9" t="s">
        <v>26</v>
      </c>
      <c r="D21" s="11" t="s">
        <v>42</v>
      </c>
      <c r="E21" s="17" t="s">
        <v>43</v>
      </c>
    </row>
    <row r="22" customFormat="false" ht="53.7" hidden="false" customHeight="false" outlineLevel="0" collapsed="false">
      <c r="A22" s="7" t="s">
        <v>44</v>
      </c>
      <c r="B22" s="22" t="n">
        <v>0.95</v>
      </c>
      <c r="C22" s="9" t="s">
        <v>26</v>
      </c>
      <c r="D22" s="11" t="s">
        <v>45</v>
      </c>
      <c r="E22" s="17" t="s">
        <v>43</v>
      </c>
    </row>
    <row r="23" customFormat="false" ht="15.75" hidden="false" customHeight="false" outlineLevel="0" collapsed="false">
      <c r="A23" s="7" t="s">
        <v>46</v>
      </c>
      <c r="B23" s="22" t="n">
        <v>0.15</v>
      </c>
      <c r="C23" s="9" t="s">
        <v>26</v>
      </c>
      <c r="D23" s="11" t="s">
        <v>47</v>
      </c>
      <c r="E23" s="20"/>
    </row>
    <row r="24" customFormat="false" ht="22.35" hidden="false" customHeight="false" outlineLevel="0" collapsed="false">
      <c r="A24" s="7" t="s">
        <v>48</v>
      </c>
      <c r="B24" s="23" t="n">
        <v>155</v>
      </c>
      <c r="C24" s="9" t="s">
        <v>49</v>
      </c>
      <c r="D24" s="11" t="s">
        <v>50</v>
      </c>
      <c r="E24" s="17" t="s">
        <v>43</v>
      </c>
    </row>
    <row r="25" customFormat="false" ht="43.25" hidden="false" customHeight="false" outlineLevel="0" collapsed="false">
      <c r="A25" s="7" t="s">
        <v>51</v>
      </c>
      <c r="B25" s="22" t="n">
        <v>0.96</v>
      </c>
      <c r="C25" s="9" t="s">
        <v>26</v>
      </c>
      <c r="D25" s="11" t="s">
        <v>52</v>
      </c>
      <c r="E25" s="17" t="s">
        <v>53</v>
      </c>
    </row>
    <row r="26" customFormat="false" ht="15.75" hidden="false" customHeight="false" outlineLevel="0" collapsed="false">
      <c r="A26" s="24"/>
      <c r="B26" s="25"/>
      <c r="C26" s="24"/>
      <c r="D26" s="24"/>
      <c r="E26" s="24"/>
    </row>
    <row r="27" customFormat="false" ht="15.75" hidden="false" customHeight="true" outlineLevel="0" collapsed="false">
      <c r="A27" s="2" t="s">
        <v>54</v>
      </c>
      <c r="B27" s="2"/>
      <c r="C27" s="2"/>
      <c r="D27" s="2"/>
      <c r="E27" s="2"/>
    </row>
    <row r="28" customFormat="false" ht="15.75" hidden="false" customHeight="true" outlineLevel="0" collapsed="false">
      <c r="A28" s="3" t="s">
        <v>55</v>
      </c>
      <c r="B28" s="3"/>
      <c r="C28" s="3"/>
      <c r="D28" s="3"/>
      <c r="E28" s="3"/>
    </row>
    <row r="29" customFormat="false" ht="15.75" hidden="false" customHeight="false" outlineLevel="0" collapsed="false">
      <c r="A29" s="4" t="s">
        <v>3</v>
      </c>
      <c r="B29" s="4" t="s">
        <v>4</v>
      </c>
      <c r="C29" s="4" t="s">
        <v>5</v>
      </c>
      <c r="D29" s="6" t="s">
        <v>6</v>
      </c>
      <c r="E29" s="6" t="s">
        <v>7</v>
      </c>
    </row>
    <row r="30" customFormat="false" ht="22.35" hidden="false" customHeight="false" outlineLevel="0" collapsed="false">
      <c r="A30" s="7" t="s">
        <v>56</v>
      </c>
      <c r="B30" s="26" t="n">
        <f aca="false">PEL!T40*1.3-PEL!O37*1.3</f>
        <v>3462.992</v>
      </c>
      <c r="C30" s="9" t="s">
        <v>57</v>
      </c>
      <c r="D30" s="11" t="s">
        <v>58</v>
      </c>
      <c r="E30" s="20" t="s">
        <v>59</v>
      </c>
    </row>
    <row r="31" customFormat="false" ht="22.35" hidden="false" customHeight="false" outlineLevel="0" collapsed="false">
      <c r="A31" s="7" t="s">
        <v>60</v>
      </c>
      <c r="B31" s="26" t="n">
        <f aca="false">PEL!W40*1.3-PEL!O37*1.3</f>
        <v>1236.295829496</v>
      </c>
      <c r="C31" s="9" t="s">
        <v>57</v>
      </c>
      <c r="D31" s="11" t="s">
        <v>58</v>
      </c>
      <c r="E31" s="20" t="s">
        <v>59</v>
      </c>
    </row>
    <row r="32" customFormat="false" ht="22.35" hidden="false" customHeight="false" outlineLevel="0" collapsed="false">
      <c r="A32" s="7" t="s">
        <v>61</v>
      </c>
      <c r="B32" s="26" t="n">
        <f aca="false">PEL!U40*1.3-PEL!O37*1.3</f>
        <v>1339.442</v>
      </c>
      <c r="C32" s="9" t="s">
        <v>57</v>
      </c>
      <c r="D32" s="11" t="s">
        <v>58</v>
      </c>
      <c r="E32" s="20" t="s">
        <v>59</v>
      </c>
    </row>
    <row r="33" customFormat="false" ht="22.35" hidden="false" customHeight="false" outlineLevel="0" collapsed="false">
      <c r="A33" s="7" t="s">
        <v>62</v>
      </c>
      <c r="B33" s="26" t="n">
        <f aca="false">PEL!R40*1.3-PEL!O37*1.3</f>
        <v>1385.774</v>
      </c>
      <c r="C33" s="9" t="s">
        <v>57</v>
      </c>
      <c r="D33" s="11" t="s">
        <v>58</v>
      </c>
      <c r="E33" s="20" t="s">
        <v>59</v>
      </c>
    </row>
    <row r="34" customFormat="false" ht="22.35" hidden="false" customHeight="false" outlineLevel="0" collapsed="false">
      <c r="A34" s="7" t="s">
        <v>63</v>
      </c>
      <c r="B34" s="26" t="n">
        <f aca="false">PEL!S40*1.3-PEL!O37*1.3</f>
        <v>1453.192</v>
      </c>
      <c r="C34" s="9" t="s">
        <v>57</v>
      </c>
      <c r="D34" s="11" t="s">
        <v>58</v>
      </c>
      <c r="E34" s="20" t="s">
        <v>59</v>
      </c>
    </row>
    <row r="35" customFormat="false" ht="22.35" hidden="false" customHeight="false" outlineLevel="0" collapsed="false">
      <c r="A35" s="7" t="s">
        <v>64</v>
      </c>
      <c r="B35" s="26" t="n">
        <f aca="false">PEL!Q40*1.3-PEL!O37*1.3</f>
        <v>415.519</v>
      </c>
      <c r="C35" s="9" t="s">
        <v>57</v>
      </c>
      <c r="D35" s="11" t="s">
        <v>58</v>
      </c>
      <c r="E35" s="20" t="s">
        <v>59</v>
      </c>
    </row>
    <row r="36" customFormat="false" ht="22.35" hidden="false" customHeight="false" outlineLevel="0" collapsed="false">
      <c r="A36" s="7" t="s">
        <v>65</v>
      </c>
      <c r="B36" s="26" t="n">
        <f aca="false">PEL!V40*1.3-PEL!O37*1.3</f>
        <v>415.662</v>
      </c>
      <c r="C36" s="9" t="s">
        <v>57</v>
      </c>
      <c r="D36" s="11" t="s">
        <v>58</v>
      </c>
      <c r="E36" s="20" t="s">
        <v>59</v>
      </c>
    </row>
    <row r="37" customFormat="false" ht="22.35" hidden="false" customHeight="false" outlineLevel="0" collapsed="false">
      <c r="A37" s="7" t="s">
        <v>66</v>
      </c>
      <c r="B37" s="26" t="n">
        <f aca="false">PEL!P40*1.3-PEL!O37*1.3</f>
        <v>365.911</v>
      </c>
      <c r="C37" s="9" t="s">
        <v>57</v>
      </c>
      <c r="D37" s="11" t="s">
        <v>58</v>
      </c>
      <c r="E37" s="20" t="s">
        <v>59</v>
      </c>
    </row>
    <row r="38" customFormat="false" ht="22.35" hidden="false" customHeight="false" outlineLevel="0" collapsed="false">
      <c r="A38" s="7" t="s">
        <v>67</v>
      </c>
      <c r="B38" s="26" t="n">
        <f aca="false">PEL!X40*1.3-PEL!O37*1.3</f>
        <v>344.461</v>
      </c>
      <c r="C38" s="9" t="s">
        <v>57</v>
      </c>
      <c r="D38" s="11" t="s">
        <v>58</v>
      </c>
      <c r="E38" s="20" t="s">
        <v>59</v>
      </c>
    </row>
    <row r="39" customFormat="false" ht="15.75" hidden="false" customHeight="false" outlineLevel="0" collapsed="false">
      <c r="A39" s="24"/>
      <c r="B39" s="27"/>
      <c r="C39" s="24"/>
      <c r="D39" s="24"/>
      <c r="E39" s="24"/>
    </row>
    <row r="40" customFormat="false" ht="15.75" hidden="false" customHeight="true" outlineLevel="0" collapsed="false">
      <c r="A40" s="2" t="s">
        <v>68</v>
      </c>
      <c r="B40" s="2"/>
      <c r="C40" s="2"/>
      <c r="D40" s="2"/>
      <c r="E40" s="2"/>
    </row>
    <row r="41" customFormat="false" ht="15.75" hidden="false" customHeight="true" outlineLevel="0" collapsed="false">
      <c r="A41" s="3" t="s">
        <v>69</v>
      </c>
      <c r="B41" s="3"/>
      <c r="C41" s="3"/>
      <c r="D41" s="3"/>
      <c r="E41" s="3"/>
    </row>
    <row r="42" customFormat="false" ht="15.75" hidden="false" customHeight="false" outlineLevel="0" collapsed="false">
      <c r="A42" s="4" t="s">
        <v>3</v>
      </c>
      <c r="B42" s="5" t="s">
        <v>4</v>
      </c>
      <c r="C42" s="4" t="s">
        <v>5</v>
      </c>
      <c r="D42" s="6" t="s">
        <v>6</v>
      </c>
      <c r="E42" s="6" t="s">
        <v>7</v>
      </c>
    </row>
    <row r="43" customFormat="false" ht="15.75" hidden="false" customHeight="false" outlineLevel="0" collapsed="false">
      <c r="A43" s="7" t="s">
        <v>70</v>
      </c>
      <c r="B43" s="28" t="n">
        <f aca="false">B5+B7</f>
        <v>6921</v>
      </c>
      <c r="C43" s="9" t="s">
        <v>9</v>
      </c>
      <c r="D43" s="11" t="s">
        <v>71</v>
      </c>
      <c r="E43" s="20" t="s">
        <v>72</v>
      </c>
    </row>
    <row r="44" customFormat="false" ht="15.75" hidden="false" customHeight="false" outlineLevel="0" collapsed="false">
      <c r="A44" s="7" t="s">
        <v>73</v>
      </c>
      <c r="B44" s="29" t="n">
        <f aca="false">2*PI()*SQRT(B43^3/B6)</f>
        <v>5730.13026491093</v>
      </c>
      <c r="C44" s="9" t="s">
        <v>74</v>
      </c>
      <c r="D44" s="11" t="s">
        <v>75</v>
      </c>
      <c r="E44" s="20" t="s">
        <v>76</v>
      </c>
    </row>
    <row r="45" customFormat="false" ht="15.75" hidden="false" customHeight="false" outlineLevel="0" collapsed="false">
      <c r="A45" s="7" t="s">
        <v>73</v>
      </c>
      <c r="B45" s="28" t="n">
        <f aca="false">B44/60</f>
        <v>95.5021710818489</v>
      </c>
      <c r="C45" s="9" t="s">
        <v>77</v>
      </c>
      <c r="D45" s="11" t="s">
        <v>78</v>
      </c>
      <c r="E45" s="20" t="s">
        <v>79</v>
      </c>
    </row>
    <row r="46" customFormat="false" ht="15.75" hidden="false" customHeight="false" outlineLevel="0" collapsed="false">
      <c r="A46" s="7" t="s">
        <v>80</v>
      </c>
      <c r="B46" s="29" t="n">
        <f aca="false">86400/B44</f>
        <v>15.078191246206</v>
      </c>
      <c r="C46" s="9" t="s">
        <v>26</v>
      </c>
      <c r="D46" s="11" t="s">
        <v>81</v>
      </c>
      <c r="E46" s="20" t="s">
        <v>79</v>
      </c>
    </row>
    <row r="47" customFormat="false" ht="15.75" hidden="false" customHeight="false" outlineLevel="0" collapsed="false">
      <c r="A47" s="7" t="s">
        <v>82</v>
      </c>
      <c r="B47" s="30" t="n">
        <f aca="false">B46*365*B9</f>
        <v>27517.6990243259</v>
      </c>
      <c r="C47" s="9" t="s">
        <v>26</v>
      </c>
      <c r="D47" s="11" t="s">
        <v>83</v>
      </c>
      <c r="E47" s="20" t="s">
        <v>79</v>
      </c>
    </row>
    <row r="48" customFormat="false" ht="15.75" hidden="false" customHeight="true" outlineLevel="0" collapsed="false">
      <c r="A48" s="3" t="s">
        <v>84</v>
      </c>
      <c r="B48" s="3"/>
      <c r="C48" s="3"/>
      <c r="D48" s="3"/>
      <c r="E48" s="3"/>
    </row>
    <row r="49" customFormat="false" ht="15.75" hidden="false" customHeight="false" outlineLevel="0" collapsed="false">
      <c r="A49" s="4" t="s">
        <v>3</v>
      </c>
      <c r="B49" s="5" t="s">
        <v>4</v>
      </c>
      <c r="C49" s="4" t="s">
        <v>5</v>
      </c>
      <c r="D49" s="6" t="s">
        <v>6</v>
      </c>
      <c r="E49" s="6" t="s">
        <v>7</v>
      </c>
    </row>
    <row r="50" customFormat="false" ht="15.75" hidden="false" customHeight="false" outlineLevel="0" collapsed="false">
      <c r="A50" s="7" t="s">
        <v>85</v>
      </c>
      <c r="B50" s="31" t="n">
        <f aca="false">B8*PI()/180</f>
        <v>0</v>
      </c>
      <c r="C50" s="9" t="s">
        <v>86</v>
      </c>
      <c r="D50" s="11" t="s">
        <v>87</v>
      </c>
      <c r="E50" s="20" t="s">
        <v>79</v>
      </c>
    </row>
    <row r="51" customFormat="false" ht="15.75" hidden="false" customHeight="false" outlineLevel="0" collapsed="false">
      <c r="A51" s="7" t="s">
        <v>88</v>
      </c>
      <c r="B51" s="29" t="n">
        <f aca="false">(B44/PI())*ASIN(COS(B50)*B5/B43)</f>
        <v>2133.00722267892</v>
      </c>
      <c r="C51" s="9" t="s">
        <v>74</v>
      </c>
      <c r="D51" s="11" t="s">
        <v>89</v>
      </c>
      <c r="E51" s="20"/>
    </row>
    <row r="52" customFormat="false" ht="15.75" hidden="false" customHeight="false" outlineLevel="0" collapsed="false">
      <c r="A52" s="7" t="s">
        <v>88</v>
      </c>
      <c r="B52" s="28" t="n">
        <f aca="false">B51/60</f>
        <v>35.5501203779819</v>
      </c>
      <c r="C52" s="9" t="s">
        <v>77</v>
      </c>
      <c r="D52" s="11" t="s">
        <v>90</v>
      </c>
      <c r="E52" s="20" t="s">
        <v>79</v>
      </c>
    </row>
    <row r="53" customFormat="false" ht="15.75" hidden="false" customHeight="false" outlineLevel="0" collapsed="false">
      <c r="A53" s="7" t="s">
        <v>91</v>
      </c>
      <c r="B53" s="29" t="n">
        <f aca="false">B44-B51</f>
        <v>3597.12304223202</v>
      </c>
      <c r="C53" s="9" t="s">
        <v>74</v>
      </c>
      <c r="D53" s="11" t="s">
        <v>92</v>
      </c>
      <c r="E53" s="20" t="s">
        <v>79</v>
      </c>
    </row>
    <row r="54" customFormat="false" ht="15.75" hidden="false" customHeight="false" outlineLevel="0" collapsed="false">
      <c r="A54" s="7" t="s">
        <v>91</v>
      </c>
      <c r="B54" s="28" t="n">
        <f aca="false">B53/60</f>
        <v>59.9520507038669</v>
      </c>
      <c r="C54" s="9" t="s">
        <v>77</v>
      </c>
      <c r="D54" s="11" t="s">
        <v>93</v>
      </c>
      <c r="E54" s="20" t="s">
        <v>79</v>
      </c>
    </row>
    <row r="55" customFormat="false" ht="15.75" hidden="false" customHeight="false" outlineLevel="0" collapsed="false">
      <c r="A55" s="7" t="s">
        <v>94</v>
      </c>
      <c r="B55" s="32" t="n">
        <f aca="false">B51/B44</f>
        <v>0.372244106864484</v>
      </c>
      <c r="C55" s="9" t="s">
        <v>26</v>
      </c>
      <c r="D55" s="11" t="s">
        <v>95</v>
      </c>
      <c r="E55" s="20" t="s">
        <v>79</v>
      </c>
    </row>
    <row r="56" customFormat="false" ht="15.75" hidden="false" customHeight="false" outlineLevel="0" collapsed="false">
      <c r="A56" s="24"/>
      <c r="B56" s="27"/>
      <c r="C56" s="24"/>
      <c r="D56" s="24"/>
      <c r="E56" s="24"/>
    </row>
    <row r="57" customFormat="false" ht="15.75" hidden="false" customHeight="true" outlineLevel="0" collapsed="false">
      <c r="A57" s="2" t="s">
        <v>96</v>
      </c>
      <c r="B57" s="2"/>
      <c r="C57" s="2"/>
      <c r="D57" s="2"/>
      <c r="E57" s="2"/>
    </row>
    <row r="58" customFormat="false" ht="15.75" hidden="false" customHeight="true" outlineLevel="0" collapsed="false">
      <c r="A58" s="3" t="s">
        <v>97</v>
      </c>
      <c r="B58" s="3"/>
      <c r="C58" s="3"/>
      <c r="D58" s="3"/>
      <c r="E58" s="3"/>
    </row>
    <row r="59" customFormat="false" ht="15.75" hidden="false" customHeight="false" outlineLevel="0" collapsed="false">
      <c r="A59" s="4" t="s">
        <v>3</v>
      </c>
      <c r="B59" s="5" t="s">
        <v>4</v>
      </c>
      <c r="C59" s="4" t="s">
        <v>5</v>
      </c>
      <c r="D59" s="6" t="s">
        <v>6</v>
      </c>
      <c r="E59" s="6" t="s">
        <v>7</v>
      </c>
    </row>
    <row r="60" customFormat="false" ht="15.75" hidden="false" customHeight="false" outlineLevel="0" collapsed="false">
      <c r="A60" s="7" t="s">
        <v>98</v>
      </c>
      <c r="B60" s="29" t="n">
        <f aca="false">B10*B13*B14</f>
        <v>361.08</v>
      </c>
      <c r="C60" s="9" t="s">
        <v>21</v>
      </c>
      <c r="D60" s="11" t="s">
        <v>99</v>
      </c>
      <c r="E60" s="20" t="s">
        <v>79</v>
      </c>
    </row>
    <row r="61" customFormat="false" ht="15.75" hidden="false" customHeight="false" outlineLevel="0" collapsed="false">
      <c r="A61" s="7" t="s">
        <v>100</v>
      </c>
      <c r="B61" s="31" t="n">
        <f aca="false">B15</f>
        <v>0.919</v>
      </c>
      <c r="C61" s="9" t="s">
        <v>26</v>
      </c>
      <c r="D61" s="11"/>
      <c r="E61" s="17" t="s">
        <v>28</v>
      </c>
    </row>
    <row r="62" customFormat="false" ht="15.75" hidden="false" customHeight="false" outlineLevel="0" collapsed="false">
      <c r="A62" s="7" t="s">
        <v>101</v>
      </c>
      <c r="B62" s="29" t="n">
        <f aca="false">B60*B61</f>
        <v>331.83252</v>
      </c>
      <c r="C62" s="9" t="s">
        <v>21</v>
      </c>
      <c r="D62" s="11" t="s">
        <v>102</v>
      </c>
      <c r="E62" s="20" t="s">
        <v>79</v>
      </c>
    </row>
    <row r="63" customFormat="false" ht="15.75" hidden="false" customHeight="true" outlineLevel="0" collapsed="false">
      <c r="A63" s="3" t="s">
        <v>103</v>
      </c>
      <c r="B63" s="3"/>
      <c r="C63" s="3"/>
      <c r="D63" s="3"/>
      <c r="E63" s="3"/>
    </row>
    <row r="64" customFormat="false" ht="15.75" hidden="false" customHeight="false" outlineLevel="0" collapsed="false">
      <c r="A64" s="4" t="s">
        <v>3</v>
      </c>
      <c r="B64" s="33" t="s">
        <v>4</v>
      </c>
      <c r="C64" s="4" t="s">
        <v>5</v>
      </c>
      <c r="D64" s="6" t="s">
        <v>6</v>
      </c>
      <c r="E64" s="6" t="s">
        <v>7</v>
      </c>
      <c r="F64" s="34"/>
    </row>
    <row r="65" customFormat="false" ht="15.75" hidden="false" customHeight="false" outlineLevel="0" collapsed="false">
      <c r="A65" s="7" t="s">
        <v>104</v>
      </c>
      <c r="B65" s="29" t="n">
        <f aca="false">B31*B51/B17</f>
        <v>2746904.09758624</v>
      </c>
      <c r="C65" s="9" t="s">
        <v>105</v>
      </c>
      <c r="D65" s="11" t="s">
        <v>106</v>
      </c>
      <c r="E65" s="20" t="s">
        <v>107</v>
      </c>
      <c r="F65" s="34"/>
    </row>
    <row r="66" customFormat="false" ht="15.75" hidden="false" customHeight="false" outlineLevel="0" collapsed="false">
      <c r="A66" s="7" t="s">
        <v>108</v>
      </c>
      <c r="B66" s="29" t="n">
        <f aca="false">B30*B53/B16</f>
        <v>14655068.6097237</v>
      </c>
      <c r="C66" s="9" t="s">
        <v>105</v>
      </c>
      <c r="D66" s="11" t="s">
        <v>109</v>
      </c>
      <c r="E66" s="20" t="s">
        <v>107</v>
      </c>
      <c r="F66" s="34"/>
    </row>
    <row r="67" customFormat="false" ht="15.75" hidden="false" customHeight="false" outlineLevel="0" collapsed="false">
      <c r="A67" s="7" t="s">
        <v>110</v>
      </c>
      <c r="B67" s="29" t="n">
        <f aca="false">(B65+B66)/B53</f>
        <v>4837.74741731159</v>
      </c>
      <c r="C67" s="9" t="s">
        <v>57</v>
      </c>
      <c r="D67" s="11" t="s">
        <v>111</v>
      </c>
      <c r="E67" s="20" t="s">
        <v>112</v>
      </c>
      <c r="F67" s="34"/>
    </row>
    <row r="68" customFormat="false" ht="15.75" hidden="false" customHeight="false" outlineLevel="0" collapsed="false">
      <c r="A68" s="7" t="s">
        <v>113</v>
      </c>
      <c r="B68" s="28" t="n">
        <f aca="false">B67/B62</f>
        <v>14.5788827969953</v>
      </c>
      <c r="C68" s="9" t="s">
        <v>114</v>
      </c>
      <c r="D68" s="11" t="s">
        <v>115</v>
      </c>
      <c r="E68" s="20" t="s">
        <v>79</v>
      </c>
    </row>
    <row r="69" customFormat="false" ht="15.75" hidden="false" customHeight="false" outlineLevel="0" collapsed="false">
      <c r="A69" s="7" t="s">
        <v>116</v>
      </c>
      <c r="B69" s="35" t="n">
        <f aca="false">B68/B18</f>
        <v>7.28944139849763</v>
      </c>
      <c r="C69" s="9" t="s">
        <v>114</v>
      </c>
      <c r="D69" s="11" t="s">
        <v>117</v>
      </c>
      <c r="E69" s="20" t="s">
        <v>79</v>
      </c>
      <c r="F69" s="36"/>
    </row>
    <row r="70" customFormat="false" ht="15.75" hidden="false" customHeight="false" outlineLevel="0" collapsed="false">
      <c r="A70" s="7" t="s">
        <v>118</v>
      </c>
      <c r="B70" s="29" t="n">
        <f aca="false">B69*B18</f>
        <v>14.5788827969953</v>
      </c>
      <c r="C70" s="9" t="s">
        <v>114</v>
      </c>
      <c r="D70" s="11" t="s">
        <v>119</v>
      </c>
      <c r="E70" s="20" t="s">
        <v>79</v>
      </c>
    </row>
    <row r="71" customFormat="false" ht="15.75" hidden="false" customHeight="false" outlineLevel="0" collapsed="false">
      <c r="A71" s="7" t="s">
        <v>120</v>
      </c>
      <c r="B71" s="29" t="n">
        <f aca="false">B70*B60</f>
        <v>5264.14300033905</v>
      </c>
      <c r="C71" s="9" t="s">
        <v>57</v>
      </c>
      <c r="D71" s="11" t="s">
        <v>121</v>
      </c>
      <c r="E71" s="20" t="s">
        <v>79</v>
      </c>
    </row>
    <row r="72" customFormat="false" ht="15.75" hidden="false" customHeight="false" outlineLevel="0" collapsed="false">
      <c r="A72" s="7" t="s">
        <v>122</v>
      </c>
      <c r="B72" s="29" t="n">
        <f aca="false">B70*B62</f>
        <v>4837.74741731159</v>
      </c>
      <c r="C72" s="9" t="s">
        <v>57</v>
      </c>
      <c r="D72" s="11" t="s">
        <v>123</v>
      </c>
      <c r="E72" s="20" t="s">
        <v>79</v>
      </c>
    </row>
    <row r="73" customFormat="false" ht="15.75" hidden="false" customHeight="false" outlineLevel="0" collapsed="false">
      <c r="A73" s="7" t="s">
        <v>124</v>
      </c>
      <c r="B73" s="32" t="n">
        <f aca="false">B72/B67-1</f>
        <v>0</v>
      </c>
      <c r="C73" s="9" t="s">
        <v>26</v>
      </c>
      <c r="D73" s="11" t="s">
        <v>125</v>
      </c>
      <c r="E73" s="20" t="s">
        <v>79</v>
      </c>
    </row>
    <row r="74" customFormat="false" ht="15.75" hidden="false" customHeight="true" outlineLevel="0" collapsed="false">
      <c r="A74" s="3" t="s">
        <v>126</v>
      </c>
      <c r="B74" s="3"/>
      <c r="C74" s="3"/>
      <c r="D74" s="3"/>
      <c r="E74" s="3"/>
    </row>
    <row r="75" customFormat="false" ht="15.75" hidden="false" customHeight="false" outlineLevel="0" collapsed="false">
      <c r="A75" s="4" t="s">
        <v>3</v>
      </c>
      <c r="B75" s="5" t="s">
        <v>4</v>
      </c>
      <c r="C75" s="4" t="s">
        <v>5</v>
      </c>
      <c r="D75" s="6" t="s">
        <v>6</v>
      </c>
      <c r="E75" s="6" t="s">
        <v>7</v>
      </c>
      <c r="F75" s="36"/>
    </row>
    <row r="76" customFormat="false" ht="43.25" hidden="false" customHeight="false" outlineLevel="0" collapsed="false">
      <c r="A76" s="7" t="s">
        <v>127</v>
      </c>
      <c r="B76" s="29" t="n">
        <f aca="false">B70*1.76</f>
        <v>25.6588337227117</v>
      </c>
      <c r="C76" s="9" t="s">
        <v>128</v>
      </c>
      <c r="D76" s="11" t="s">
        <v>129</v>
      </c>
      <c r="E76" s="37" t="s">
        <v>130</v>
      </c>
    </row>
    <row r="77" customFormat="false" ht="15.75" hidden="false" customHeight="false" outlineLevel="0" collapsed="false">
      <c r="A77" s="7" t="s">
        <v>131</v>
      </c>
      <c r="B77" s="29" t="n">
        <f aca="false">B70*1.5</f>
        <v>21.8683241954929</v>
      </c>
      <c r="C77" s="9" t="s">
        <v>128</v>
      </c>
      <c r="D77" s="11" t="s">
        <v>132</v>
      </c>
      <c r="E77" s="20" t="s">
        <v>133</v>
      </c>
    </row>
    <row r="78" customFormat="false" ht="15.75" hidden="false" customHeight="false" outlineLevel="0" collapsed="false">
      <c r="A78" s="7" t="s">
        <v>134</v>
      </c>
      <c r="B78" s="29" t="n">
        <f aca="false">B18*5</f>
        <v>10</v>
      </c>
      <c r="C78" s="9" t="s">
        <v>128</v>
      </c>
      <c r="D78" s="11" t="s">
        <v>135</v>
      </c>
      <c r="E78" s="20" t="s">
        <v>133</v>
      </c>
    </row>
    <row r="79" customFormat="false" ht="15.75" hidden="false" customHeight="false" outlineLevel="0" collapsed="false">
      <c r="A79" s="7" t="s">
        <v>136</v>
      </c>
      <c r="B79" s="29" t="n">
        <f aca="false">B76+B77+B78</f>
        <v>57.5271579182046</v>
      </c>
      <c r="C79" s="9" t="s">
        <v>128</v>
      </c>
      <c r="D79" s="11" t="s">
        <v>137</v>
      </c>
      <c r="E79" s="20" t="s">
        <v>79</v>
      </c>
    </row>
    <row r="80" customFormat="false" ht="15.75" hidden="false" customHeight="false" outlineLevel="0" collapsed="false">
      <c r="A80" s="24"/>
      <c r="B80" s="24"/>
      <c r="C80" s="24"/>
      <c r="D80" s="24"/>
      <c r="E80" s="24"/>
    </row>
    <row r="81" customFormat="false" ht="15.75" hidden="false" customHeight="true" outlineLevel="0" collapsed="false">
      <c r="A81" s="2" t="s">
        <v>138</v>
      </c>
      <c r="B81" s="2"/>
      <c r="C81" s="2"/>
      <c r="D81" s="2"/>
      <c r="E81" s="2"/>
    </row>
    <row r="82" customFormat="false" ht="15.75" hidden="false" customHeight="true" outlineLevel="0" collapsed="false">
      <c r="A82" s="3" t="s">
        <v>139</v>
      </c>
      <c r="B82" s="3"/>
      <c r="C82" s="3"/>
      <c r="D82" s="3"/>
      <c r="E82" s="3"/>
    </row>
    <row r="83" customFormat="false" ht="15.75" hidden="false" customHeight="false" outlineLevel="0" collapsed="false">
      <c r="A83" s="4" t="s">
        <v>3</v>
      </c>
      <c r="B83" s="5" t="s">
        <v>4</v>
      </c>
      <c r="C83" s="4" t="s">
        <v>5</v>
      </c>
      <c r="D83" s="6" t="s">
        <v>6</v>
      </c>
      <c r="E83" s="6" t="s">
        <v>7</v>
      </c>
    </row>
    <row r="84" customFormat="false" ht="32.8" hidden="false" customHeight="false" outlineLevel="0" collapsed="false">
      <c r="A84" s="7" t="s">
        <v>140</v>
      </c>
      <c r="B84" s="29" t="n">
        <f aca="false">B31*B51/3600</f>
        <v>732.507759356331</v>
      </c>
      <c r="C84" s="9" t="s">
        <v>141</v>
      </c>
      <c r="D84" s="11" t="s">
        <v>142</v>
      </c>
      <c r="E84" s="20" t="s">
        <v>143</v>
      </c>
    </row>
    <row r="85" customFormat="false" ht="43.25" hidden="false" customHeight="false" outlineLevel="0" collapsed="false">
      <c r="A85" s="7" t="s">
        <v>144</v>
      </c>
      <c r="B85" s="29" t="n">
        <f aca="false">B84/B21</f>
        <v>1046.43965622333</v>
      </c>
      <c r="C85" s="9" t="s">
        <v>141</v>
      </c>
      <c r="D85" s="11" t="s">
        <v>145</v>
      </c>
      <c r="E85" s="20" t="s">
        <v>146</v>
      </c>
    </row>
    <row r="86" customFormat="false" ht="15.75" hidden="false" customHeight="false" outlineLevel="0" collapsed="false">
      <c r="A86" s="7" t="s">
        <v>147</v>
      </c>
      <c r="B86" s="31" t="n">
        <f aca="false">B22</f>
        <v>0.95</v>
      </c>
      <c r="C86" s="9" t="s">
        <v>26</v>
      </c>
      <c r="D86" s="11" t="s">
        <v>148</v>
      </c>
      <c r="E86" s="36"/>
    </row>
    <row r="87" customFormat="false" ht="32.8" hidden="false" customHeight="false" outlineLevel="0" collapsed="false">
      <c r="A87" s="7" t="s">
        <v>149</v>
      </c>
      <c r="B87" s="29" t="n">
        <f aca="false">B85/B86</f>
        <v>1101.5154276035</v>
      </c>
      <c r="C87" s="9" t="s">
        <v>141</v>
      </c>
      <c r="D87" s="11" t="s">
        <v>150</v>
      </c>
      <c r="E87" s="20"/>
      <c r="F87" s="20"/>
    </row>
    <row r="88" customFormat="false" ht="22.35" hidden="false" customHeight="false" outlineLevel="0" collapsed="false">
      <c r="A88" s="7" t="s">
        <v>151</v>
      </c>
      <c r="B88" s="30" t="n">
        <f aca="false">B87*(1+B23)</f>
        <v>1266.74274174403</v>
      </c>
      <c r="C88" s="9" t="s">
        <v>141</v>
      </c>
      <c r="D88" s="11" t="s">
        <v>152</v>
      </c>
      <c r="E88" s="20" t="s">
        <v>153</v>
      </c>
    </row>
    <row r="89" customFormat="false" ht="15.75" hidden="false" customHeight="true" outlineLevel="0" collapsed="false">
      <c r="A89" s="3" t="s">
        <v>154</v>
      </c>
      <c r="B89" s="3"/>
      <c r="C89" s="3"/>
      <c r="D89" s="3"/>
      <c r="E89" s="3"/>
    </row>
    <row r="90" customFormat="false" ht="15.75" hidden="false" customHeight="false" outlineLevel="0" collapsed="false">
      <c r="A90" s="4" t="s">
        <v>3</v>
      </c>
      <c r="B90" s="5" t="s">
        <v>4</v>
      </c>
      <c r="C90" s="4" t="s">
        <v>5</v>
      </c>
      <c r="D90" s="6" t="s">
        <v>6</v>
      </c>
      <c r="E90" s="6" t="s">
        <v>7</v>
      </c>
    </row>
    <row r="91" customFormat="false" ht="15.75" hidden="false" customHeight="false" outlineLevel="0" collapsed="false">
      <c r="A91" s="7" t="s">
        <v>155</v>
      </c>
      <c r="B91" s="30" t="n">
        <f aca="false">B46*365*B9</f>
        <v>27517.6990243259</v>
      </c>
      <c r="C91" s="9" t="s">
        <v>26</v>
      </c>
      <c r="D91" s="11" t="s">
        <v>156</v>
      </c>
      <c r="E91" s="20" t="s">
        <v>79</v>
      </c>
    </row>
    <row r="92" customFormat="false" ht="22.35" hidden="false" customHeight="false" outlineLevel="0" collapsed="false">
      <c r="A92" s="7" t="s">
        <v>157</v>
      </c>
      <c r="B92" s="38" t="n">
        <v>60000</v>
      </c>
      <c r="C92" s="9" t="s">
        <v>26</v>
      </c>
      <c r="D92" s="11" t="s">
        <v>158</v>
      </c>
      <c r="E92" s="17" t="s">
        <v>43</v>
      </c>
    </row>
    <row r="93" customFormat="false" ht="22.35" hidden="false" customHeight="false" outlineLevel="0" collapsed="false">
      <c r="A93" s="7" t="s">
        <v>159</v>
      </c>
      <c r="B93" s="32" t="n">
        <f aca="false">B92/B91-1</f>
        <v>1.18041486488239</v>
      </c>
      <c r="C93" s="9" t="s">
        <v>26</v>
      </c>
      <c r="D93" s="11" t="s">
        <v>160</v>
      </c>
      <c r="E93" s="20" t="s">
        <v>79</v>
      </c>
    </row>
    <row r="94" customFormat="false" ht="15.75" hidden="false" customHeight="true" outlineLevel="0" collapsed="false">
      <c r="A94" s="3" t="s">
        <v>161</v>
      </c>
      <c r="B94" s="3"/>
      <c r="C94" s="3"/>
      <c r="D94" s="3"/>
      <c r="E94" s="3"/>
    </row>
    <row r="95" customFormat="false" ht="15.75" hidden="false" customHeight="false" outlineLevel="0" collapsed="false">
      <c r="A95" s="4" t="s">
        <v>3</v>
      </c>
      <c r="B95" s="4" t="s">
        <v>4</v>
      </c>
      <c r="C95" s="4" t="s">
        <v>5</v>
      </c>
      <c r="D95" s="6" t="s">
        <v>6</v>
      </c>
      <c r="E95" s="6" t="s">
        <v>7</v>
      </c>
    </row>
    <row r="96" customFormat="false" ht="15.75" hidden="false" customHeight="false" outlineLevel="0" collapsed="false">
      <c r="A96" s="39" t="s">
        <v>162</v>
      </c>
      <c r="B96" s="40" t="n">
        <f aca="false">B88/B24</f>
        <v>8.17253381770342</v>
      </c>
      <c r="C96" s="41" t="s">
        <v>128</v>
      </c>
      <c r="D96" s="42" t="s">
        <v>163</v>
      </c>
      <c r="E96" s="43" t="s">
        <v>79</v>
      </c>
    </row>
    <row r="97" customFormat="false" ht="15.75" hidden="false" customHeight="false" outlineLevel="0" collapsed="false">
      <c r="A97" s="44" t="s">
        <v>164</v>
      </c>
      <c r="B97" s="45" t="n">
        <f aca="false">B96/0.005</f>
        <v>1634.50676354068</v>
      </c>
      <c r="C97" s="46" t="s">
        <v>165</v>
      </c>
      <c r="D97" s="47" t="s">
        <v>166</v>
      </c>
      <c r="E97" s="20" t="s">
        <v>133</v>
      </c>
    </row>
    <row r="98" customFormat="false" ht="15.75" hidden="false" customHeight="false" outlineLevel="0" collapsed="false">
      <c r="A98" s="24"/>
      <c r="B98" s="24"/>
      <c r="C98" s="24"/>
      <c r="D98" s="24"/>
      <c r="E98" s="24"/>
    </row>
    <row r="99" customFormat="false" ht="15.75" hidden="false" customHeight="true" outlineLevel="0" collapsed="false">
      <c r="A99" s="2" t="s">
        <v>167</v>
      </c>
      <c r="B99" s="2"/>
      <c r="C99" s="2"/>
      <c r="D99" s="2"/>
      <c r="E99" s="2"/>
    </row>
    <row r="100" customFormat="false" ht="15.75" hidden="false" customHeight="true" outlineLevel="0" collapsed="false">
      <c r="A100" s="3" t="s">
        <v>168</v>
      </c>
      <c r="B100" s="3"/>
      <c r="C100" s="3"/>
      <c r="D100" s="3"/>
      <c r="E100" s="3"/>
    </row>
    <row r="101" customFormat="false" ht="15.75" hidden="false" customHeight="false" outlineLevel="0" collapsed="false">
      <c r="A101" s="4" t="s">
        <v>3</v>
      </c>
      <c r="B101" s="4" t="s">
        <v>4</v>
      </c>
      <c r="C101" s="4" t="s">
        <v>5</v>
      </c>
      <c r="D101" s="6" t="s">
        <v>6</v>
      </c>
      <c r="E101" s="6" t="s">
        <v>7</v>
      </c>
    </row>
    <row r="102" customFormat="false" ht="15.75" hidden="false" customHeight="false" outlineLevel="0" collapsed="false">
      <c r="A102" s="7" t="s">
        <v>169</v>
      </c>
      <c r="B102" s="48" t="n">
        <v>100</v>
      </c>
      <c r="C102" s="9" t="s">
        <v>170</v>
      </c>
      <c r="D102" s="11" t="s">
        <v>171</v>
      </c>
      <c r="E102" s="49" t="s">
        <v>172</v>
      </c>
    </row>
    <row r="103" customFormat="false" ht="22.35" hidden="false" customHeight="false" outlineLevel="0" collapsed="false">
      <c r="A103" s="7" t="s">
        <v>173</v>
      </c>
      <c r="B103" s="50" t="n">
        <f aca="false">B72/100</f>
        <v>48.3774741731159</v>
      </c>
      <c r="C103" s="9" t="s">
        <v>174</v>
      </c>
      <c r="D103" s="11" t="s">
        <v>175</v>
      </c>
      <c r="E103" s="20" t="s">
        <v>176</v>
      </c>
    </row>
    <row r="104" customFormat="false" ht="15.75" hidden="false" customHeight="false" outlineLevel="0" collapsed="false">
      <c r="A104" s="7" t="s">
        <v>177</v>
      </c>
      <c r="B104" s="50" t="n">
        <f aca="false">B72*(1-B25)</f>
        <v>193.509896692464</v>
      </c>
      <c r="C104" s="9" t="s">
        <v>57</v>
      </c>
      <c r="D104" s="11" t="s">
        <v>178</v>
      </c>
      <c r="E104" s="20" t="s">
        <v>179</v>
      </c>
    </row>
    <row r="105" customFormat="false" ht="22.35" hidden="false" customHeight="false" outlineLevel="0" collapsed="false">
      <c r="A105" s="39" t="s">
        <v>180</v>
      </c>
      <c r="B105" s="51" t="n">
        <v>20</v>
      </c>
      <c r="C105" s="41" t="s">
        <v>128</v>
      </c>
      <c r="D105" s="42" t="s">
        <v>181</v>
      </c>
      <c r="E105" s="43"/>
    </row>
    <row r="106" customFormat="false" ht="15.75" hidden="false" customHeight="false" outlineLevel="0" collapsed="false">
      <c r="A106" s="44" t="s">
        <v>182</v>
      </c>
      <c r="B106" s="52" t="s">
        <v>183</v>
      </c>
      <c r="C106" s="46" t="s">
        <v>165</v>
      </c>
      <c r="D106" s="47" t="s">
        <v>184</v>
      </c>
      <c r="E106" s="20" t="s">
        <v>133</v>
      </c>
    </row>
    <row r="107" customFormat="false" ht="15.75" hidden="false" customHeight="false" outlineLevel="0" collapsed="false">
      <c r="A107" s="24"/>
      <c r="B107" s="24"/>
      <c r="C107" s="24"/>
      <c r="D107" s="24"/>
      <c r="E107" s="24"/>
    </row>
    <row r="108" customFormat="false" ht="15.75" hidden="false" customHeight="true" outlineLevel="0" collapsed="false">
      <c r="A108" s="2" t="s">
        <v>185</v>
      </c>
      <c r="B108" s="2"/>
      <c r="C108" s="2"/>
      <c r="D108" s="2"/>
      <c r="E108" s="2"/>
    </row>
    <row r="109" customFormat="false" ht="15.75" hidden="false" customHeight="true" outlineLevel="0" collapsed="false">
      <c r="A109" s="3" t="s">
        <v>186</v>
      </c>
      <c r="B109" s="3"/>
      <c r="C109" s="3"/>
      <c r="D109" s="3"/>
      <c r="E109" s="3"/>
    </row>
    <row r="110" customFormat="false" ht="15.75" hidden="false" customHeight="false" outlineLevel="0" collapsed="false">
      <c r="A110" s="4" t="s">
        <v>3</v>
      </c>
      <c r="B110" s="4" t="s">
        <v>4</v>
      </c>
      <c r="C110" s="4" t="s">
        <v>5</v>
      </c>
      <c r="D110" s="6" t="s">
        <v>187</v>
      </c>
      <c r="E110" s="53"/>
    </row>
    <row r="111" customFormat="false" ht="15.75" hidden="false" customHeight="false" outlineLevel="0" collapsed="false">
      <c r="A111" s="54" t="s">
        <v>188</v>
      </c>
      <c r="B111" s="29" t="n">
        <f aca="false">B45</f>
        <v>95.5021710818489</v>
      </c>
      <c r="C111" s="9" t="s">
        <v>77</v>
      </c>
      <c r="D111" s="54"/>
      <c r="E111" s="10"/>
    </row>
    <row r="112" customFormat="false" ht="15.75" hidden="false" customHeight="false" outlineLevel="0" collapsed="false">
      <c r="A112" s="54" t="s">
        <v>189</v>
      </c>
      <c r="B112" s="29" t="n">
        <f aca="false">B52</f>
        <v>35.5501203779819</v>
      </c>
      <c r="C112" s="9" t="s">
        <v>77</v>
      </c>
      <c r="D112" s="54"/>
      <c r="E112" s="10"/>
    </row>
    <row r="113" customFormat="false" ht="15.75" hidden="false" customHeight="false" outlineLevel="0" collapsed="false">
      <c r="A113" s="54" t="s">
        <v>94</v>
      </c>
      <c r="B113" s="29" t="n">
        <f aca="false">B55</f>
        <v>0.372244106864484</v>
      </c>
      <c r="C113" s="9" t="s">
        <v>26</v>
      </c>
      <c r="D113" s="54"/>
      <c r="E113" s="10"/>
    </row>
    <row r="114" customFormat="false" ht="15.75" hidden="false" customHeight="false" outlineLevel="0" collapsed="false">
      <c r="A114" s="54" t="s">
        <v>190</v>
      </c>
      <c r="B114" s="29" t="n">
        <f aca="false">B70</f>
        <v>14.5788827969953</v>
      </c>
      <c r="C114" s="9" t="s">
        <v>114</v>
      </c>
      <c r="D114" s="54"/>
      <c r="E114" s="10"/>
    </row>
    <row r="115" customFormat="false" ht="15.75" hidden="false" customHeight="false" outlineLevel="0" collapsed="false">
      <c r="A115" s="54" t="s">
        <v>120</v>
      </c>
      <c r="B115" s="29" t="n">
        <f aca="false">B71</f>
        <v>5264.14300033905</v>
      </c>
      <c r="C115" s="9" t="s">
        <v>57</v>
      </c>
      <c r="D115" s="54" t="s">
        <v>191</v>
      </c>
      <c r="E115" s="10"/>
    </row>
    <row r="116" customFormat="false" ht="15.75" hidden="false" customHeight="false" outlineLevel="0" collapsed="false">
      <c r="A116" s="54" t="s">
        <v>122</v>
      </c>
      <c r="B116" s="29" t="n">
        <f aca="false">B72</f>
        <v>4837.74741731159</v>
      </c>
      <c r="C116" s="9" t="s">
        <v>57</v>
      </c>
      <c r="D116" s="54" t="s">
        <v>192</v>
      </c>
      <c r="E116" s="10"/>
    </row>
    <row r="117" customFormat="false" ht="15.75" hidden="false" customHeight="false" outlineLevel="0" collapsed="false">
      <c r="A117" s="54" t="s">
        <v>193</v>
      </c>
      <c r="B117" s="29" t="n">
        <f aca="false">B88</f>
        <v>1266.74274174403</v>
      </c>
      <c r="C117" s="9" t="s">
        <v>141</v>
      </c>
      <c r="D117" s="54"/>
      <c r="E117" s="10"/>
    </row>
    <row r="118" customFormat="false" ht="15.75" hidden="false" customHeight="false" outlineLevel="0" collapsed="false">
      <c r="A118" s="54" t="s">
        <v>162</v>
      </c>
      <c r="B118" s="29" t="n">
        <f aca="false">B96</f>
        <v>8.17253381770342</v>
      </c>
      <c r="C118" s="9" t="s">
        <v>128</v>
      </c>
      <c r="D118" s="54" t="s">
        <v>194</v>
      </c>
      <c r="E118" s="10"/>
    </row>
    <row r="119" customFormat="false" ht="15.75" hidden="false" customHeight="false" outlineLevel="0" collapsed="false">
      <c r="A119" s="54" t="s">
        <v>177</v>
      </c>
      <c r="B119" s="29" t="n">
        <f aca="false">B104</f>
        <v>193.509896692464</v>
      </c>
      <c r="C119" s="9" t="s">
        <v>57</v>
      </c>
      <c r="D119" s="54"/>
      <c r="E119" s="10"/>
    </row>
    <row r="120" customFormat="false" ht="15.75" hidden="false" customHeight="false" outlineLevel="0" collapsed="false">
      <c r="A120" s="54" t="s">
        <v>195</v>
      </c>
      <c r="B120" s="29" t="n">
        <f aca="false">B79</f>
        <v>57.5271579182046</v>
      </c>
      <c r="C120" s="9" t="s">
        <v>128</v>
      </c>
      <c r="D120" s="54" t="s">
        <v>196</v>
      </c>
      <c r="E120" s="10"/>
    </row>
    <row r="121" customFormat="false" ht="15.75" hidden="false" customHeight="false" outlineLevel="0" collapsed="false">
      <c r="A121" s="54" t="s">
        <v>180</v>
      </c>
      <c r="B121" s="29" t="n">
        <f aca="false">B105</f>
        <v>20</v>
      </c>
      <c r="C121" s="9" t="s">
        <v>128</v>
      </c>
      <c r="D121" s="54"/>
      <c r="E121" s="10"/>
    </row>
    <row r="122" customFormat="false" ht="15.75" hidden="false" customHeight="false" outlineLevel="0" collapsed="false">
      <c r="A122" s="55" t="s">
        <v>197</v>
      </c>
      <c r="B122" s="29" t="n">
        <f aca="false">B79+B96+B105</f>
        <v>85.699691735908</v>
      </c>
      <c r="C122" s="9" t="s">
        <v>128</v>
      </c>
      <c r="D122" s="55" t="s">
        <v>198</v>
      </c>
      <c r="E122" s="56"/>
    </row>
    <row r="123" customFormat="false" ht="15.75" hidden="false" customHeight="false" outlineLevel="0" collapsed="false">
      <c r="A123" s="24"/>
      <c r="B123" s="24"/>
      <c r="C123" s="24"/>
      <c r="D123" s="24"/>
      <c r="E123" s="24"/>
    </row>
    <row r="124" customFormat="false" ht="15.75" hidden="false" customHeight="false" outlineLevel="0" collapsed="false">
      <c r="A124" s="57"/>
      <c r="B124" s="57"/>
      <c r="C124" s="57"/>
      <c r="D124" s="57"/>
      <c r="E124" s="57"/>
    </row>
    <row r="125" customFormat="false" ht="15.75" hidden="false" customHeight="false" outlineLevel="0" collapsed="false">
      <c r="A125" s="57"/>
      <c r="B125" s="57"/>
      <c r="C125" s="57"/>
      <c r="D125" s="57"/>
      <c r="E125" s="57"/>
    </row>
    <row r="126" customFormat="false" ht="15.75" hidden="false" customHeight="false" outlineLevel="0" collapsed="false">
      <c r="A126" s="57"/>
      <c r="B126" s="57"/>
      <c r="C126" s="57"/>
      <c r="D126" s="57"/>
      <c r="E126" s="57"/>
    </row>
    <row r="127" customFormat="false" ht="15.75" hidden="false" customHeight="false" outlineLevel="0" collapsed="false">
      <c r="A127" s="57"/>
      <c r="B127" s="57"/>
      <c r="C127" s="57"/>
      <c r="D127" s="57"/>
      <c r="E127" s="57"/>
    </row>
    <row r="128" customFormat="false" ht="15.75" hidden="false" customHeight="false" outlineLevel="0" collapsed="false">
      <c r="A128" s="57"/>
      <c r="B128" s="57"/>
      <c r="C128" s="57"/>
      <c r="D128" s="57"/>
      <c r="E128" s="57"/>
    </row>
    <row r="129" customFormat="false" ht="15.75" hidden="false" customHeight="false" outlineLevel="0" collapsed="false">
      <c r="A129" s="57"/>
      <c r="B129" s="57"/>
      <c r="C129" s="57"/>
      <c r="D129" s="57"/>
      <c r="E129" s="57"/>
    </row>
    <row r="130" customFormat="false" ht="15.75" hidden="false" customHeight="false" outlineLevel="0" collapsed="false">
      <c r="A130" s="57"/>
      <c r="B130" s="57"/>
      <c r="C130" s="57"/>
      <c r="D130" s="57"/>
      <c r="E130" s="57"/>
    </row>
    <row r="131" customFormat="false" ht="15.75" hidden="false" customHeight="false" outlineLevel="0" collapsed="false">
      <c r="A131" s="57"/>
      <c r="B131" s="57"/>
      <c r="C131" s="57"/>
      <c r="D131" s="57"/>
      <c r="E131" s="57"/>
    </row>
    <row r="132" customFormat="false" ht="15.75" hidden="false" customHeight="false" outlineLevel="0" collapsed="false">
      <c r="A132" s="57"/>
      <c r="B132" s="57"/>
      <c r="C132" s="57"/>
      <c r="D132" s="57"/>
      <c r="E132" s="57"/>
    </row>
  </sheetData>
  <mergeCells count="23">
    <mergeCell ref="A1:E1"/>
    <mergeCell ref="A2:E2"/>
    <mergeCell ref="A3:E3"/>
    <mergeCell ref="A11:E11"/>
    <mergeCell ref="A19:E19"/>
    <mergeCell ref="A27:E27"/>
    <mergeCell ref="A28:E28"/>
    <mergeCell ref="A40:E40"/>
    <mergeCell ref="A41:E41"/>
    <mergeCell ref="A48:E48"/>
    <mergeCell ref="A57:E57"/>
    <mergeCell ref="A58:E58"/>
    <mergeCell ref="A63:E63"/>
    <mergeCell ref="F64:F67"/>
    <mergeCell ref="A74:E74"/>
    <mergeCell ref="A81:E81"/>
    <mergeCell ref="A82:E82"/>
    <mergeCell ref="A89:E89"/>
    <mergeCell ref="A94:E94"/>
    <mergeCell ref="A99:E99"/>
    <mergeCell ref="A100:E100"/>
    <mergeCell ref="A108:E108"/>
    <mergeCell ref="A109:E109"/>
  </mergeCells>
  <hyperlinks>
    <hyperlink ref="E13" r:id="rId1" display="30% Triple-Junction (TJ) - III-V Bare Solar Cells &amp; Assemblies"/>
    <hyperlink ref="E14" r:id="rId2" display="Spacecraft Electrical Power Systems"/>
    <hyperlink ref="E15" r:id="rId3" display="30% Triple-Junction (TJ) - III-V Bare Solar Cells &amp; Assemblies"/>
    <hyperlink ref="E16" r:id="rId4" display="Spacecraft Electrical Power Systems"/>
    <hyperlink ref="E21" r:id="rId5" display="VES16 Batteries for LEO and GEO Satellites Dr. Y.Borthomieu, Dr. V.Armel B. Le Guern"/>
    <hyperlink ref="E22" r:id="rId6" display="VES16 Batteries for LEO and GEO Satellites Dr. Y.Borthomieu, Dr. V.Armel B. Le Guern"/>
    <hyperlink ref="E24" r:id="rId7" display="VES16 Batteries for LEO and GEO Satellites Dr. Y.Borthomieu, Dr. V.Armel B. Le Guern"/>
    <hyperlink ref="E25" r:id="rId8" display="Power Bus Management Techniques for Space Missions in Low Earth Orbit -- 'Thus, efficiency can be larger than 96%, depending on the bus voltage.'"/>
    <hyperlink ref="E61" r:id="rId9" display="30% Triple-Junction (TJ) - III-V Bare Solar Cells &amp; Assemblies"/>
    <hyperlink ref="E76" r:id="rId10" display="https://www.spectrolab.com/DataSheets/Panel/panels.pdf"/>
    <hyperlink ref="E92" r:id="rId11" display="VES16 Batteries for LEO and GEO Satellites Dr. Y.Borthomieu, Dr. V.Armel B. Le Guern"/>
    <hyperlink ref="E102" r:id="rId12" display="POWER CONDITIONING AND DISTRIBUTION UNI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9.38"/>
    <col collapsed="false" customWidth="true" hidden="false" outlineLevel="0" max="2" min="2" style="0" width="31"/>
    <col collapsed="false" customWidth="true" hidden="false" outlineLevel="0" max="3" min="3" style="0" width="13.25"/>
    <col collapsed="false" customWidth="true" hidden="false" outlineLevel="0" max="4" min="4" style="0" width="16.12"/>
    <col collapsed="false" customWidth="true" hidden="false" outlineLevel="0" max="5" min="5" style="0" width="12.25"/>
    <col collapsed="false" customWidth="true" hidden="false" outlineLevel="0" max="6" min="6" style="0" width="15.38"/>
    <col collapsed="false" customWidth="true" hidden="false" outlineLevel="0" max="7" min="7" style="0" width="32"/>
    <col collapsed="false" customWidth="true" hidden="false" outlineLevel="0" max="10" min="8" style="0" width="19.75"/>
    <col collapsed="false" customWidth="true" hidden="false" outlineLevel="0" max="11" min="11" style="0" width="15.88"/>
    <col collapsed="false" customWidth="true" hidden="false" outlineLevel="0" max="12" min="12" style="0" width="31"/>
    <col collapsed="false" customWidth="true" hidden="false" outlineLevel="0" max="13" min="13" style="0" width="6.51"/>
    <col collapsed="false" customWidth="true" hidden="false" outlineLevel="0" max="14" min="14" style="0" width="7.12"/>
    <col collapsed="false" customWidth="true" hidden="false" outlineLevel="0" max="15" min="15" style="0" width="6.63"/>
    <col collapsed="false" customWidth="true" hidden="false" outlineLevel="0" max="17" min="16" style="0" width="6.51"/>
    <col collapsed="false" customWidth="true" hidden="false" outlineLevel="0" max="18" min="18" style="0" width="6.25"/>
    <col collapsed="false" customWidth="true" hidden="false" outlineLevel="0" max="20" min="19" style="0" width="7.38"/>
    <col collapsed="false" customWidth="true" hidden="false" outlineLevel="0" max="21" min="21" style="0" width="9.38"/>
    <col collapsed="false" customWidth="true" hidden="false" outlineLevel="0" max="22" min="22" style="0" width="7.12"/>
    <col collapsed="false" customWidth="true" hidden="false" outlineLevel="0" max="23" min="23" style="0" width="7.63"/>
    <col collapsed="false" customWidth="true" hidden="false" outlineLevel="0" max="24" min="24" style="0" width="7.75"/>
    <col collapsed="false" customWidth="true" hidden="false" outlineLevel="0" max="25" min="25" style="0" width="52"/>
    <col collapsed="false" customWidth="true" hidden="false" outlineLevel="0" max="26" min="26" style="0" width="7.63"/>
  </cols>
  <sheetData>
    <row r="1" customFormat="false" ht="21.75" hidden="false" customHeight="true" outlineLevel="0" collapsed="false">
      <c r="A1" s="58" t="s">
        <v>199</v>
      </c>
      <c r="B1" s="58"/>
      <c r="C1" s="58"/>
      <c r="D1" s="58"/>
      <c r="E1" s="58"/>
      <c r="F1" s="59"/>
      <c r="G1" s="59"/>
      <c r="H1" s="60"/>
      <c r="K1" s="61" t="s">
        <v>200</v>
      </c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0"/>
    </row>
    <row r="2" customFormat="false" ht="21.75" hidden="false" customHeight="true" outlineLevel="0" collapsed="false">
      <c r="A2" s="61" t="s">
        <v>201</v>
      </c>
      <c r="B2" s="61"/>
      <c r="C2" s="61"/>
      <c r="D2" s="61"/>
      <c r="E2" s="61"/>
      <c r="F2" s="59"/>
      <c r="G2" s="59"/>
      <c r="H2" s="60"/>
      <c r="K2" s="62" t="s">
        <v>202</v>
      </c>
      <c r="L2" s="62" t="s">
        <v>203</v>
      </c>
      <c r="M2" s="62" t="s">
        <v>204</v>
      </c>
      <c r="N2" s="62" t="s">
        <v>205</v>
      </c>
      <c r="O2" s="62" t="s">
        <v>206</v>
      </c>
      <c r="P2" s="63" t="s">
        <v>66</v>
      </c>
      <c r="Q2" s="63" t="s">
        <v>64</v>
      </c>
      <c r="R2" s="63" t="s">
        <v>62</v>
      </c>
      <c r="S2" s="63" t="s">
        <v>63</v>
      </c>
      <c r="T2" s="63" t="s">
        <v>207</v>
      </c>
      <c r="U2" s="63" t="s">
        <v>208</v>
      </c>
      <c r="V2" s="63" t="s">
        <v>65</v>
      </c>
      <c r="W2" s="63" t="s">
        <v>209</v>
      </c>
      <c r="X2" s="63" t="s">
        <v>210</v>
      </c>
      <c r="Y2" s="63" t="s">
        <v>187</v>
      </c>
    </row>
    <row r="3" customFormat="false" ht="21.75" hidden="false" customHeight="true" outlineLevel="0" collapsed="false">
      <c r="A3" s="62" t="s">
        <v>202</v>
      </c>
      <c r="B3" s="62" t="s">
        <v>203</v>
      </c>
      <c r="C3" s="62" t="s">
        <v>211</v>
      </c>
      <c r="D3" s="62" t="s">
        <v>212</v>
      </c>
      <c r="E3" s="62" t="s">
        <v>213</v>
      </c>
      <c r="F3" s="62" t="s">
        <v>214</v>
      </c>
      <c r="G3" s="62" t="s">
        <v>7</v>
      </c>
      <c r="H3" s="62" t="s">
        <v>187</v>
      </c>
      <c r="K3" s="64" t="s">
        <v>215</v>
      </c>
      <c r="L3" s="64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customFormat="false" ht="21.75" hidden="false" customHeight="true" outlineLevel="0" collapsed="false">
      <c r="A4" s="64" t="s">
        <v>215</v>
      </c>
      <c r="B4" s="65"/>
      <c r="C4" s="65"/>
      <c r="D4" s="65"/>
      <c r="E4" s="65"/>
      <c r="F4" s="65"/>
      <c r="G4" s="65"/>
      <c r="H4" s="65"/>
      <c r="K4" s="66"/>
      <c r="L4" s="67" t="s">
        <v>216</v>
      </c>
      <c r="M4" s="68" t="n">
        <f aca="false">D5</f>
        <v>17.4</v>
      </c>
      <c r="N4" s="69" t="n">
        <f aca="false">E5</f>
        <v>0.1</v>
      </c>
      <c r="O4" s="70" t="n">
        <f aca="false">F5</f>
        <v>19.14</v>
      </c>
      <c r="P4" s="71" t="n">
        <v>0</v>
      </c>
      <c r="Q4" s="71" t="n">
        <v>0</v>
      </c>
      <c r="R4" s="72" t="n">
        <v>1</v>
      </c>
      <c r="S4" s="71" t="n">
        <v>0</v>
      </c>
      <c r="T4" s="71" t="n">
        <v>0</v>
      </c>
      <c r="U4" s="71" t="n">
        <v>0</v>
      </c>
      <c r="V4" s="71" t="n">
        <v>0</v>
      </c>
      <c r="W4" s="71" t="n">
        <v>0</v>
      </c>
      <c r="X4" s="71" t="n">
        <v>0</v>
      </c>
      <c r="Y4" s="73" t="s">
        <v>217</v>
      </c>
    </row>
    <row r="5" customFormat="false" ht="21.75" hidden="false" customHeight="true" outlineLevel="0" collapsed="false">
      <c r="A5" s="66" t="s">
        <v>215</v>
      </c>
      <c r="B5" s="67" t="s">
        <v>216</v>
      </c>
      <c r="C5" s="66" t="s">
        <v>218</v>
      </c>
      <c r="D5" s="68" t="n">
        <v>17.4</v>
      </c>
      <c r="E5" s="69" t="n">
        <v>0.1</v>
      </c>
      <c r="F5" s="70" t="n">
        <f aca="false">D5*(1+E5)</f>
        <v>19.14</v>
      </c>
      <c r="G5" s="66" t="s">
        <v>219</v>
      </c>
      <c r="H5" s="73"/>
      <c r="K5" s="74"/>
      <c r="L5" s="75" t="s">
        <v>220</v>
      </c>
      <c r="M5" s="68" t="n">
        <f aca="false">D6</f>
        <v>2</v>
      </c>
      <c r="N5" s="69" t="n">
        <f aca="false">E6</f>
        <v>0.1</v>
      </c>
      <c r="O5" s="70" t="n">
        <f aca="false">F6</f>
        <v>2.2</v>
      </c>
      <c r="P5" s="72" t="n">
        <v>1</v>
      </c>
      <c r="Q5" s="72" t="n">
        <v>1</v>
      </c>
      <c r="R5" s="71" t="n">
        <v>0</v>
      </c>
      <c r="S5" s="72" t="n">
        <v>1</v>
      </c>
      <c r="T5" s="72" t="n">
        <v>1</v>
      </c>
      <c r="U5" s="72" t="n">
        <v>1</v>
      </c>
      <c r="V5" s="72" t="n">
        <v>1</v>
      </c>
      <c r="W5" s="72" t="n">
        <v>1</v>
      </c>
      <c r="X5" s="71" t="n">
        <v>0</v>
      </c>
      <c r="Y5" s="76" t="s">
        <v>221</v>
      </c>
    </row>
    <row r="6" customFormat="false" ht="21.75" hidden="false" customHeight="true" outlineLevel="0" collapsed="false">
      <c r="A6" s="74" t="s">
        <v>215</v>
      </c>
      <c r="B6" s="75" t="s">
        <v>220</v>
      </c>
      <c r="C6" s="74" t="s">
        <v>222</v>
      </c>
      <c r="D6" s="68" t="n">
        <v>2</v>
      </c>
      <c r="E6" s="69" t="n">
        <v>0.1</v>
      </c>
      <c r="F6" s="70" t="n">
        <f aca="false">D6*(1+E6)</f>
        <v>2.2</v>
      </c>
      <c r="G6" s="74" t="s">
        <v>223</v>
      </c>
      <c r="H6" s="76"/>
      <c r="K6" s="66"/>
      <c r="L6" s="67" t="s">
        <v>224</v>
      </c>
      <c r="M6" s="68" t="n">
        <f aca="false">D7</f>
        <v>20</v>
      </c>
      <c r="N6" s="69" t="n">
        <f aca="false">E7</f>
        <v>0.1</v>
      </c>
      <c r="O6" s="70" t="n">
        <f aca="false">F7</f>
        <v>22</v>
      </c>
      <c r="P6" s="71" t="n">
        <v>0</v>
      </c>
      <c r="Q6" s="71" t="n">
        <v>0</v>
      </c>
      <c r="R6" s="72" t="n">
        <v>1</v>
      </c>
      <c r="S6" s="71" t="n">
        <v>0</v>
      </c>
      <c r="T6" s="71" t="n">
        <v>0</v>
      </c>
      <c r="U6" s="71" t="n">
        <v>0</v>
      </c>
      <c r="V6" s="71" t="n">
        <v>0</v>
      </c>
      <c r="W6" s="71" t="n">
        <v>0</v>
      </c>
      <c r="X6" s="71" t="n">
        <v>0</v>
      </c>
      <c r="Y6" s="73" t="s">
        <v>217</v>
      </c>
    </row>
    <row r="7" customFormat="false" ht="21.75" hidden="false" customHeight="true" outlineLevel="0" collapsed="false">
      <c r="A7" s="66" t="s">
        <v>215</v>
      </c>
      <c r="B7" s="67" t="s">
        <v>224</v>
      </c>
      <c r="C7" s="66" t="s">
        <v>218</v>
      </c>
      <c r="D7" s="68" t="n">
        <v>20</v>
      </c>
      <c r="E7" s="69" t="n">
        <v>0.1</v>
      </c>
      <c r="F7" s="70" t="n">
        <f aca="false">D7*(1+E7)</f>
        <v>22</v>
      </c>
      <c r="G7" s="66" t="s">
        <v>219</v>
      </c>
      <c r="H7" s="73"/>
      <c r="K7" s="74"/>
      <c r="L7" s="75" t="s">
        <v>225</v>
      </c>
      <c r="M7" s="68" t="n">
        <f aca="false">D8</f>
        <v>3</v>
      </c>
      <c r="N7" s="69" t="n">
        <f aca="false">E8</f>
        <v>0.1</v>
      </c>
      <c r="O7" s="70" t="n">
        <f aca="false">F8</f>
        <v>3.3</v>
      </c>
      <c r="P7" s="72" t="n">
        <v>1</v>
      </c>
      <c r="Q7" s="72" t="n">
        <v>1</v>
      </c>
      <c r="R7" s="71" t="n">
        <v>0</v>
      </c>
      <c r="S7" s="72" t="n">
        <v>1</v>
      </c>
      <c r="T7" s="72" t="n">
        <v>1</v>
      </c>
      <c r="U7" s="72" t="n">
        <v>1</v>
      </c>
      <c r="V7" s="72" t="n">
        <v>1</v>
      </c>
      <c r="W7" s="72" t="n">
        <v>1</v>
      </c>
      <c r="X7" s="71" t="n">
        <v>0</v>
      </c>
      <c r="Y7" s="76" t="s">
        <v>221</v>
      </c>
    </row>
    <row r="8" customFormat="false" ht="21.75" hidden="false" customHeight="true" outlineLevel="0" collapsed="false">
      <c r="A8" s="74" t="s">
        <v>215</v>
      </c>
      <c r="B8" s="75" t="s">
        <v>225</v>
      </c>
      <c r="C8" s="74" t="s">
        <v>222</v>
      </c>
      <c r="D8" s="68" t="n">
        <v>3</v>
      </c>
      <c r="E8" s="69" t="n">
        <v>0.1</v>
      </c>
      <c r="F8" s="70" t="n">
        <f aca="false">D8*(1+E8)</f>
        <v>3.3</v>
      </c>
      <c r="G8" s="74" t="s">
        <v>223</v>
      </c>
      <c r="H8" s="76"/>
      <c r="K8" s="64" t="s">
        <v>226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customFormat="false" ht="21.75" hidden="false" customHeight="true" outlineLevel="0" collapsed="false">
      <c r="A9" s="64" t="s">
        <v>226</v>
      </c>
      <c r="B9" s="65"/>
      <c r="C9" s="65"/>
      <c r="D9" s="65"/>
      <c r="E9" s="65"/>
      <c r="F9" s="65"/>
      <c r="G9" s="65"/>
      <c r="H9" s="65"/>
      <c r="K9" s="66"/>
      <c r="L9" s="67" t="s">
        <v>227</v>
      </c>
      <c r="M9" s="68" t="n">
        <f aca="false">D10</f>
        <v>30</v>
      </c>
      <c r="N9" s="69" t="n">
        <f aca="false">E10</f>
        <v>0.1</v>
      </c>
      <c r="O9" s="70" t="n">
        <f aca="false">F10</f>
        <v>33</v>
      </c>
      <c r="P9" s="71" t="n">
        <v>0</v>
      </c>
      <c r="Q9" s="71" t="n">
        <v>0</v>
      </c>
      <c r="R9" s="71" t="n">
        <v>0</v>
      </c>
      <c r="S9" s="72" t="n">
        <v>1</v>
      </c>
      <c r="T9" s="71" t="n">
        <v>0</v>
      </c>
      <c r="U9" s="71" t="n">
        <v>0</v>
      </c>
      <c r="V9" s="71" t="n">
        <v>0</v>
      </c>
      <c r="W9" s="71" t="n">
        <v>0</v>
      </c>
      <c r="X9" s="71" t="n">
        <v>0</v>
      </c>
      <c r="Y9" s="73" t="s">
        <v>228</v>
      </c>
    </row>
    <row r="10" customFormat="false" ht="21.75" hidden="false" customHeight="true" outlineLevel="0" collapsed="false">
      <c r="A10" s="66" t="s">
        <v>226</v>
      </c>
      <c r="B10" s="67" t="s">
        <v>227</v>
      </c>
      <c r="C10" s="66" t="s">
        <v>229</v>
      </c>
      <c r="D10" s="68" t="n">
        <v>30</v>
      </c>
      <c r="E10" s="69" t="n">
        <v>0.1</v>
      </c>
      <c r="F10" s="70" t="n">
        <f aca="false">D10*(1+E10)</f>
        <v>33</v>
      </c>
      <c r="G10" s="66" t="s">
        <v>230</v>
      </c>
      <c r="H10" s="73"/>
      <c r="K10" s="66"/>
      <c r="L10" s="67" t="s">
        <v>231</v>
      </c>
      <c r="M10" s="68" t="n">
        <f aca="false">D11</f>
        <v>20</v>
      </c>
      <c r="N10" s="69" t="n">
        <f aca="false">E11</f>
        <v>0.1</v>
      </c>
      <c r="O10" s="70" t="n">
        <f aca="false">F11</f>
        <v>22</v>
      </c>
      <c r="P10" s="71" t="n">
        <v>0</v>
      </c>
      <c r="Q10" s="71" t="n">
        <v>0</v>
      </c>
      <c r="R10" s="71" t="n">
        <v>0</v>
      </c>
      <c r="S10" s="72" t="n">
        <v>1</v>
      </c>
      <c r="T10" s="71" t="n">
        <v>0</v>
      </c>
      <c r="U10" s="71" t="n">
        <v>0</v>
      </c>
      <c r="V10" s="71" t="n">
        <v>0</v>
      </c>
      <c r="W10" s="71" t="n">
        <v>0</v>
      </c>
      <c r="X10" s="71" t="n">
        <v>0</v>
      </c>
      <c r="Y10" s="73" t="s">
        <v>228</v>
      </c>
    </row>
    <row r="11" customFormat="false" ht="21.75" hidden="false" customHeight="true" outlineLevel="0" collapsed="false">
      <c r="A11" s="66" t="s">
        <v>226</v>
      </c>
      <c r="B11" s="67" t="s">
        <v>231</v>
      </c>
      <c r="C11" s="66" t="s">
        <v>229</v>
      </c>
      <c r="D11" s="68" t="n">
        <v>20</v>
      </c>
      <c r="E11" s="69" t="n">
        <v>0.1</v>
      </c>
      <c r="F11" s="70" t="n">
        <f aca="false">D11*(1+E11)</f>
        <v>22</v>
      </c>
      <c r="G11" s="66" t="s">
        <v>230</v>
      </c>
      <c r="H11" s="73"/>
      <c r="K11" s="66"/>
      <c r="L11" s="67" t="s">
        <v>232</v>
      </c>
      <c r="M11" s="68" t="n">
        <f aca="false">D12</f>
        <v>10</v>
      </c>
      <c r="N11" s="69" t="n">
        <f aca="false">E12</f>
        <v>0.1</v>
      </c>
      <c r="O11" s="70" t="n">
        <f aca="false">F12</f>
        <v>11</v>
      </c>
      <c r="P11" s="71" t="n">
        <v>0</v>
      </c>
      <c r="Q11" s="71" t="n">
        <v>0</v>
      </c>
      <c r="R11" s="71" t="n">
        <v>0</v>
      </c>
      <c r="S11" s="72" t="n">
        <v>1</v>
      </c>
      <c r="T11" s="71" t="n">
        <v>0</v>
      </c>
      <c r="U11" s="71" t="n">
        <v>0</v>
      </c>
      <c r="V11" s="71" t="n">
        <v>0</v>
      </c>
      <c r="W11" s="71" t="n">
        <v>0</v>
      </c>
      <c r="X11" s="71" t="n">
        <v>0</v>
      </c>
      <c r="Y11" s="73" t="s">
        <v>228</v>
      </c>
    </row>
    <row r="12" customFormat="false" ht="21.75" hidden="false" customHeight="true" outlineLevel="0" collapsed="false">
      <c r="A12" s="66" t="s">
        <v>226</v>
      </c>
      <c r="B12" s="67" t="s">
        <v>232</v>
      </c>
      <c r="C12" s="66" t="s">
        <v>229</v>
      </c>
      <c r="D12" s="68" t="n">
        <v>10</v>
      </c>
      <c r="E12" s="69" t="n">
        <v>0.1</v>
      </c>
      <c r="F12" s="70" t="n">
        <f aca="false">D12*(1+E12)</f>
        <v>11</v>
      </c>
      <c r="G12" s="66" t="s">
        <v>230</v>
      </c>
      <c r="H12" s="73"/>
      <c r="K12" s="66"/>
      <c r="L12" s="67" t="s">
        <v>233</v>
      </c>
      <c r="M12" s="68" t="n">
        <f aca="false">D13</f>
        <v>25</v>
      </c>
      <c r="N12" s="69" t="n">
        <f aca="false">E13</f>
        <v>0.3</v>
      </c>
      <c r="O12" s="70" t="n">
        <f aca="false">F13</f>
        <v>32.5</v>
      </c>
      <c r="P12" s="71" t="n">
        <v>0</v>
      </c>
      <c r="Q12" s="71" t="n">
        <v>0</v>
      </c>
      <c r="R12" s="71" t="n">
        <v>0</v>
      </c>
      <c r="S12" s="72" t="n">
        <v>1</v>
      </c>
      <c r="T12" s="71" t="n">
        <v>0</v>
      </c>
      <c r="U12" s="71" t="n">
        <v>0</v>
      </c>
      <c r="V12" s="71" t="n">
        <v>0</v>
      </c>
      <c r="W12" s="71" t="n">
        <v>0</v>
      </c>
      <c r="X12" s="71" t="n">
        <v>0</v>
      </c>
      <c r="Y12" s="73" t="s">
        <v>228</v>
      </c>
    </row>
    <row r="13" customFormat="false" ht="21.75" hidden="false" customHeight="true" outlineLevel="0" collapsed="false">
      <c r="A13" s="66" t="s">
        <v>226</v>
      </c>
      <c r="B13" s="67" t="s">
        <v>233</v>
      </c>
      <c r="C13" s="66" t="s">
        <v>229</v>
      </c>
      <c r="D13" s="68" t="n">
        <v>25</v>
      </c>
      <c r="E13" s="69" t="n">
        <v>0.3</v>
      </c>
      <c r="F13" s="70" t="n">
        <f aca="false">D13*(1+E13)</f>
        <v>32.5</v>
      </c>
      <c r="G13" s="66" t="s">
        <v>230</v>
      </c>
      <c r="H13" s="73"/>
      <c r="K13" s="66"/>
      <c r="L13" s="67" t="s">
        <v>234</v>
      </c>
      <c r="M13" s="68" t="n">
        <f aca="false">D14</f>
        <v>10</v>
      </c>
      <c r="N13" s="69" t="n">
        <f aca="false">E14</f>
        <v>0.1</v>
      </c>
      <c r="O13" s="70" t="n">
        <f aca="false">F14</f>
        <v>11</v>
      </c>
      <c r="P13" s="72" t="n">
        <v>1</v>
      </c>
      <c r="Q13" s="72" t="n">
        <v>1</v>
      </c>
      <c r="R13" s="72" t="n">
        <v>1</v>
      </c>
      <c r="S13" s="71" t="n">
        <v>0</v>
      </c>
      <c r="T13" s="72" t="n">
        <v>1</v>
      </c>
      <c r="U13" s="72" t="n">
        <v>1</v>
      </c>
      <c r="V13" s="72" t="n">
        <v>1</v>
      </c>
      <c r="W13" s="72" t="n">
        <v>1</v>
      </c>
      <c r="X13" s="71" t="n">
        <v>0</v>
      </c>
      <c r="Y13" s="73" t="s">
        <v>235</v>
      </c>
    </row>
    <row r="14" customFormat="false" ht="21.75" hidden="false" customHeight="true" outlineLevel="0" collapsed="false">
      <c r="A14" s="66" t="s">
        <v>226</v>
      </c>
      <c r="B14" s="67" t="s">
        <v>234</v>
      </c>
      <c r="C14" s="66" t="s">
        <v>222</v>
      </c>
      <c r="D14" s="68" t="n">
        <v>10</v>
      </c>
      <c r="E14" s="69" t="n">
        <v>0.1</v>
      </c>
      <c r="F14" s="70" t="n">
        <f aca="false">D14*(1+E14)</f>
        <v>11</v>
      </c>
      <c r="G14" s="66" t="s">
        <v>230</v>
      </c>
      <c r="H14" s="73"/>
      <c r="K14" s="64" t="s">
        <v>236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customFormat="false" ht="21.75" hidden="false" customHeight="true" outlineLevel="0" collapsed="false">
      <c r="A15" s="64" t="s">
        <v>236</v>
      </c>
      <c r="B15" s="65"/>
      <c r="C15" s="65"/>
      <c r="D15" s="65"/>
      <c r="E15" s="65"/>
      <c r="F15" s="65"/>
      <c r="G15" s="65"/>
      <c r="H15" s="65"/>
      <c r="K15" s="66"/>
      <c r="L15" s="67" t="s">
        <v>237</v>
      </c>
      <c r="M15" s="68" t="n">
        <f aca="false">D16</f>
        <v>1350</v>
      </c>
      <c r="N15" s="69" t="n">
        <f aca="false">E16</f>
        <v>0.1</v>
      </c>
      <c r="O15" s="70" t="n">
        <f aca="false">F16</f>
        <v>1485</v>
      </c>
      <c r="P15" s="71" t="n">
        <v>0</v>
      </c>
      <c r="Q15" s="71" t="n">
        <v>0</v>
      </c>
      <c r="R15" s="71" t="n">
        <v>0</v>
      </c>
      <c r="S15" s="71" t="n">
        <v>0</v>
      </c>
      <c r="T15" s="72" t="n">
        <v>1</v>
      </c>
      <c r="U15" s="71" t="n">
        <v>0</v>
      </c>
      <c r="V15" s="71" t="n">
        <v>0</v>
      </c>
      <c r="W15" s="71" t="n">
        <v>0</v>
      </c>
      <c r="X15" s="71" t="n">
        <v>0</v>
      </c>
      <c r="Y15" s="73" t="s">
        <v>238</v>
      </c>
    </row>
    <row r="16" customFormat="false" ht="21.75" hidden="false" customHeight="true" outlineLevel="0" collapsed="false">
      <c r="A16" s="66" t="s">
        <v>236</v>
      </c>
      <c r="B16" s="67" t="s">
        <v>237</v>
      </c>
      <c r="C16" s="66" t="s">
        <v>239</v>
      </c>
      <c r="D16" s="68" t="n">
        <v>1350</v>
      </c>
      <c r="E16" s="69" t="n">
        <v>0.1</v>
      </c>
      <c r="F16" s="70" t="n">
        <f aca="false">D16*(1+E16)</f>
        <v>1485</v>
      </c>
      <c r="G16" s="66" t="s">
        <v>240</v>
      </c>
      <c r="H16" s="73"/>
      <c r="K16" s="74"/>
      <c r="L16" s="75" t="s">
        <v>241</v>
      </c>
      <c r="M16" s="68" t="n">
        <f aca="false">D17</f>
        <v>135</v>
      </c>
      <c r="N16" s="69" t="n">
        <f aca="false">E17</f>
        <v>0.1</v>
      </c>
      <c r="O16" s="70" t="n">
        <f aca="false">F17</f>
        <v>148.5</v>
      </c>
      <c r="P16" s="71" t="n">
        <v>0</v>
      </c>
      <c r="Q16" s="71" t="n">
        <v>0</v>
      </c>
      <c r="R16" s="71" t="n">
        <v>0</v>
      </c>
      <c r="S16" s="71" t="n">
        <v>0</v>
      </c>
      <c r="T16" s="72" t="n">
        <v>1</v>
      </c>
      <c r="U16" s="71" t="n">
        <v>0</v>
      </c>
      <c r="V16" s="71" t="n">
        <v>0</v>
      </c>
      <c r="W16" s="71" t="n">
        <v>0</v>
      </c>
      <c r="X16" s="71" t="n">
        <v>0</v>
      </c>
      <c r="Y16" s="76" t="s">
        <v>242</v>
      </c>
    </row>
    <row r="17" customFormat="false" ht="21.75" hidden="false" customHeight="true" outlineLevel="0" collapsed="false">
      <c r="A17" s="74" t="s">
        <v>236</v>
      </c>
      <c r="B17" s="75" t="s">
        <v>241</v>
      </c>
      <c r="C17" s="74" t="s">
        <v>239</v>
      </c>
      <c r="D17" s="68" t="n">
        <f aca="false">0.1*D16</f>
        <v>135</v>
      </c>
      <c r="E17" s="69" t="n">
        <v>0.1</v>
      </c>
      <c r="F17" s="70" t="n">
        <f aca="false">D17*(1+E17)</f>
        <v>148.5</v>
      </c>
      <c r="G17" s="74" t="s">
        <v>223</v>
      </c>
      <c r="H17" s="76" t="s">
        <v>243</v>
      </c>
      <c r="K17" s="64" t="s">
        <v>244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customFormat="false" ht="21.75" hidden="false" customHeight="true" outlineLevel="0" collapsed="false">
      <c r="A18" s="64" t="s">
        <v>244</v>
      </c>
      <c r="B18" s="65"/>
      <c r="C18" s="65"/>
      <c r="D18" s="65"/>
      <c r="E18" s="65"/>
      <c r="F18" s="65"/>
      <c r="G18" s="65"/>
      <c r="H18" s="65"/>
      <c r="K18" s="66"/>
      <c r="L18" s="67" t="s">
        <v>245</v>
      </c>
      <c r="M18" s="68" t="n">
        <f aca="false">D19</f>
        <v>213.7</v>
      </c>
      <c r="N18" s="69" t="n">
        <f aca="false">E19</f>
        <v>0.1</v>
      </c>
      <c r="O18" s="70" t="n">
        <f aca="false">F19</f>
        <v>235.07</v>
      </c>
      <c r="P18" s="72" t="n">
        <v>1</v>
      </c>
      <c r="Q18" s="72" t="n">
        <v>1</v>
      </c>
      <c r="R18" s="72" t="n">
        <v>1</v>
      </c>
      <c r="S18" s="72" t="n">
        <v>1</v>
      </c>
      <c r="T18" s="72" t="n">
        <v>1</v>
      </c>
      <c r="U18" s="72" t="n">
        <v>1</v>
      </c>
      <c r="V18" s="72" t="n">
        <v>1</v>
      </c>
      <c r="W18" s="72" t="n">
        <v>1</v>
      </c>
      <c r="X18" s="72" t="n">
        <v>1</v>
      </c>
      <c r="Y18" s="73" t="s">
        <v>246</v>
      </c>
    </row>
    <row r="19" customFormat="false" ht="21.75" hidden="false" customHeight="true" outlineLevel="0" collapsed="false">
      <c r="A19" s="66" t="s">
        <v>247</v>
      </c>
      <c r="B19" s="67" t="s">
        <v>245</v>
      </c>
      <c r="C19" s="66" t="s">
        <v>248</v>
      </c>
      <c r="D19" s="68" t="n">
        <v>213.7</v>
      </c>
      <c r="E19" s="69" t="n">
        <v>0.1</v>
      </c>
      <c r="F19" s="70" t="n">
        <f aca="false">D19*(1+E19)</f>
        <v>235.07</v>
      </c>
      <c r="G19" s="66" t="s">
        <v>249</v>
      </c>
      <c r="H19" s="73"/>
      <c r="K19" s="66"/>
      <c r="L19" s="67" t="s">
        <v>250</v>
      </c>
      <c r="M19" s="68" t="n">
        <f aca="false">D20</f>
        <v>144</v>
      </c>
      <c r="N19" s="69" t="n">
        <f aca="false">E20</f>
        <v>0.1</v>
      </c>
      <c r="O19" s="70" t="n">
        <f aca="false">F20</f>
        <v>158.4</v>
      </c>
      <c r="P19" s="71" t="n">
        <v>0</v>
      </c>
      <c r="Q19" s="71" t="n">
        <v>0</v>
      </c>
      <c r="R19" s="72" t="n">
        <v>1</v>
      </c>
      <c r="S19" s="72" t="n">
        <v>1</v>
      </c>
      <c r="T19" s="72" t="n">
        <v>1</v>
      </c>
      <c r="U19" s="72" t="n">
        <v>1</v>
      </c>
      <c r="V19" s="71" t="n">
        <v>0</v>
      </c>
      <c r="W19" s="71" t="n">
        <v>0</v>
      </c>
      <c r="X19" s="71" t="n">
        <v>0</v>
      </c>
      <c r="Y19" s="73" t="s">
        <v>251</v>
      </c>
    </row>
    <row r="20" customFormat="false" ht="21.75" hidden="false" customHeight="true" outlineLevel="0" collapsed="false">
      <c r="A20" s="66" t="s">
        <v>247</v>
      </c>
      <c r="B20" s="67" t="s">
        <v>250</v>
      </c>
      <c r="C20" s="66" t="s">
        <v>252</v>
      </c>
      <c r="D20" s="68" t="n">
        <v>144</v>
      </c>
      <c r="E20" s="77" t="n">
        <v>0.1</v>
      </c>
      <c r="F20" s="70" t="n">
        <f aca="false">D20*(1+E20)</f>
        <v>158.4</v>
      </c>
      <c r="G20" s="66" t="s">
        <v>253</v>
      </c>
      <c r="H20" s="73"/>
      <c r="K20" s="66"/>
      <c r="L20" s="67" t="s">
        <v>254</v>
      </c>
      <c r="M20" s="68" t="n">
        <f aca="false">D21</f>
        <v>96</v>
      </c>
      <c r="N20" s="69" t="n">
        <f aca="false">E21</f>
        <v>0.1</v>
      </c>
      <c r="O20" s="70" t="n">
        <f aca="false">F21</f>
        <v>105.6</v>
      </c>
      <c r="P20" s="71" t="n">
        <v>0</v>
      </c>
      <c r="Q20" s="71" t="n">
        <v>0</v>
      </c>
      <c r="R20" s="72" t="n">
        <v>1</v>
      </c>
      <c r="S20" s="72" t="n">
        <v>1</v>
      </c>
      <c r="T20" s="72" t="n">
        <v>1</v>
      </c>
      <c r="U20" s="72" t="n">
        <v>1</v>
      </c>
      <c r="V20" s="71" t="n">
        <v>0</v>
      </c>
      <c r="W20" s="71" t="n">
        <v>0</v>
      </c>
      <c r="X20" s="71" t="n">
        <v>0</v>
      </c>
      <c r="Y20" s="73" t="s">
        <v>251</v>
      </c>
    </row>
    <row r="21" customFormat="false" ht="21.75" hidden="false" customHeight="true" outlineLevel="0" collapsed="false">
      <c r="A21" s="66" t="s">
        <v>247</v>
      </c>
      <c r="B21" s="67" t="s">
        <v>254</v>
      </c>
      <c r="C21" s="66" t="s">
        <v>252</v>
      </c>
      <c r="D21" s="68" t="n">
        <v>96</v>
      </c>
      <c r="E21" s="69" t="n">
        <v>0.1</v>
      </c>
      <c r="F21" s="70" t="n">
        <f aca="false">D21*(1+E21)</f>
        <v>105.6</v>
      </c>
      <c r="G21" s="66" t="s">
        <v>253</v>
      </c>
      <c r="H21" s="73"/>
      <c r="K21" s="66"/>
      <c r="L21" s="67" t="s">
        <v>255</v>
      </c>
      <c r="M21" s="68" t="n">
        <f aca="false">D22</f>
        <v>406.1</v>
      </c>
      <c r="N21" s="69" t="n">
        <f aca="false">E22</f>
        <v>0.1</v>
      </c>
      <c r="O21" s="70" t="n">
        <f aca="false">F22</f>
        <v>446.71</v>
      </c>
      <c r="P21" s="71" t="n">
        <v>0</v>
      </c>
      <c r="Q21" s="71" t="n">
        <v>0</v>
      </c>
      <c r="R21" s="72" t="n">
        <v>1</v>
      </c>
      <c r="S21" s="72" t="n">
        <v>1</v>
      </c>
      <c r="T21" s="72" t="n">
        <v>1</v>
      </c>
      <c r="U21" s="72" t="n">
        <v>1</v>
      </c>
      <c r="V21" s="71" t="n">
        <v>0</v>
      </c>
      <c r="W21" s="71" t="n">
        <v>0</v>
      </c>
      <c r="X21" s="71" t="n">
        <v>0</v>
      </c>
      <c r="Y21" s="73" t="s">
        <v>251</v>
      </c>
    </row>
    <row r="22" customFormat="false" ht="21.75" hidden="false" customHeight="true" outlineLevel="0" collapsed="false">
      <c r="A22" s="66" t="s">
        <v>247</v>
      </c>
      <c r="B22" s="67" t="s">
        <v>255</v>
      </c>
      <c r="C22" s="66" t="s">
        <v>252</v>
      </c>
      <c r="D22" s="68" t="n">
        <v>406.1</v>
      </c>
      <c r="E22" s="69" t="n">
        <v>0.1</v>
      </c>
      <c r="F22" s="70" t="n">
        <f aca="false">D22*(1+E22)</f>
        <v>446.71</v>
      </c>
      <c r="G22" s="66" t="s">
        <v>253</v>
      </c>
      <c r="H22" s="73"/>
      <c r="K22" s="74"/>
      <c r="L22" s="75" t="s">
        <v>256</v>
      </c>
      <c r="M22" s="68" t="n">
        <f aca="false">D23</f>
        <v>10</v>
      </c>
      <c r="N22" s="69" t="n">
        <f aca="false">E23</f>
        <v>0.1</v>
      </c>
      <c r="O22" s="70" t="n">
        <f aca="false">F23</f>
        <v>11</v>
      </c>
      <c r="P22" s="72" t="n">
        <v>1</v>
      </c>
      <c r="Q22" s="72" t="n">
        <v>1</v>
      </c>
      <c r="R22" s="72" t="n">
        <v>1</v>
      </c>
      <c r="S22" s="72" t="n">
        <v>1</v>
      </c>
      <c r="T22" s="72" t="n">
        <v>1</v>
      </c>
      <c r="U22" s="72" t="n">
        <v>1</v>
      </c>
      <c r="V22" s="72" t="n">
        <v>1</v>
      </c>
      <c r="W22" s="72" t="n">
        <v>1</v>
      </c>
      <c r="X22" s="72" t="n">
        <v>1</v>
      </c>
      <c r="Y22" s="76" t="s">
        <v>257</v>
      </c>
    </row>
    <row r="23" customFormat="false" ht="21.75" hidden="false" customHeight="true" outlineLevel="0" collapsed="false">
      <c r="A23" s="74" t="s">
        <v>247</v>
      </c>
      <c r="B23" s="75" t="s">
        <v>256</v>
      </c>
      <c r="C23" s="74" t="s">
        <v>248</v>
      </c>
      <c r="D23" s="68" t="n">
        <v>10</v>
      </c>
      <c r="E23" s="69" t="n">
        <v>0.1</v>
      </c>
      <c r="F23" s="70" t="n">
        <f aca="false">D23*(1+E23)</f>
        <v>11</v>
      </c>
      <c r="G23" s="74" t="s">
        <v>258</v>
      </c>
      <c r="H23" s="76"/>
      <c r="K23" s="74"/>
      <c r="L23" s="75" t="s">
        <v>259</v>
      </c>
      <c r="M23" s="68" t="n">
        <f aca="false">D24</f>
        <v>24</v>
      </c>
      <c r="N23" s="69" t="n">
        <f aca="false">E24</f>
        <v>0.1</v>
      </c>
      <c r="O23" s="70" t="n">
        <f aca="false">F24</f>
        <v>26.4</v>
      </c>
      <c r="P23" s="71" t="n">
        <v>0</v>
      </c>
      <c r="Q23" s="72" t="n">
        <v>1</v>
      </c>
      <c r="R23" s="72" t="n">
        <v>1</v>
      </c>
      <c r="S23" s="72" t="n">
        <v>1</v>
      </c>
      <c r="T23" s="72" t="n">
        <v>1</v>
      </c>
      <c r="U23" s="72" t="n">
        <v>1</v>
      </c>
      <c r="V23" s="72" t="n">
        <v>1</v>
      </c>
      <c r="W23" s="71" t="n">
        <v>0</v>
      </c>
      <c r="X23" s="71" t="n">
        <v>0</v>
      </c>
      <c r="Y23" s="76" t="s">
        <v>260</v>
      </c>
    </row>
    <row r="24" customFormat="false" ht="21.75" hidden="false" customHeight="true" outlineLevel="0" collapsed="false">
      <c r="A24" s="74" t="s">
        <v>247</v>
      </c>
      <c r="B24" s="75" t="s">
        <v>259</v>
      </c>
      <c r="C24" s="74" t="s">
        <v>248</v>
      </c>
      <c r="D24" s="68" t="n">
        <v>24</v>
      </c>
      <c r="E24" s="69" t="n">
        <v>0.1</v>
      </c>
      <c r="F24" s="70" t="n">
        <f aca="false">D24*(1+E24)</f>
        <v>26.4</v>
      </c>
      <c r="G24" s="74" t="s">
        <v>258</v>
      </c>
      <c r="H24" s="76"/>
      <c r="K24" s="74"/>
      <c r="L24" s="75" t="s">
        <v>261</v>
      </c>
      <c r="M24" s="68" t="n">
        <f aca="false">D25</f>
        <v>6</v>
      </c>
      <c r="N24" s="69" t="n">
        <f aca="false">E25</f>
        <v>0.1</v>
      </c>
      <c r="O24" s="70" t="n">
        <f aca="false">F25</f>
        <v>6.6</v>
      </c>
      <c r="P24" s="71" t="n">
        <v>0</v>
      </c>
      <c r="Q24" s="72" t="n">
        <v>1</v>
      </c>
      <c r="R24" s="72" t="n">
        <v>1</v>
      </c>
      <c r="S24" s="72" t="n">
        <v>1</v>
      </c>
      <c r="T24" s="72" t="n">
        <v>1</v>
      </c>
      <c r="U24" s="72" t="n">
        <v>1</v>
      </c>
      <c r="V24" s="72" t="n">
        <v>1</v>
      </c>
      <c r="W24" s="71" t="n">
        <v>0</v>
      </c>
      <c r="X24" s="71" t="n">
        <v>0</v>
      </c>
      <c r="Y24" s="76" t="s">
        <v>260</v>
      </c>
    </row>
    <row r="25" customFormat="false" ht="21.75" hidden="false" customHeight="true" outlineLevel="0" collapsed="false">
      <c r="A25" s="74" t="s">
        <v>247</v>
      </c>
      <c r="B25" s="75" t="s">
        <v>261</v>
      </c>
      <c r="C25" s="74" t="s">
        <v>248</v>
      </c>
      <c r="D25" s="68" t="n">
        <v>6</v>
      </c>
      <c r="E25" s="69" t="n">
        <v>0.1</v>
      </c>
      <c r="F25" s="70" t="n">
        <f aca="false">D25*(1+E25)</f>
        <v>6.6</v>
      </c>
      <c r="G25" s="74" t="s">
        <v>258</v>
      </c>
      <c r="H25" s="76"/>
      <c r="K25" s="74"/>
      <c r="L25" s="75" t="s">
        <v>262</v>
      </c>
      <c r="M25" s="68" t="n">
        <f aca="false">D26</f>
        <v>2</v>
      </c>
      <c r="N25" s="69" t="n">
        <f aca="false">E26</f>
        <v>0.1</v>
      </c>
      <c r="O25" s="70" t="n">
        <f aca="false">F26</f>
        <v>2.2</v>
      </c>
      <c r="P25" s="72" t="n">
        <v>1</v>
      </c>
      <c r="Q25" s="72" t="n">
        <v>1</v>
      </c>
      <c r="R25" s="72" t="n">
        <v>1</v>
      </c>
      <c r="S25" s="72" t="n">
        <v>1</v>
      </c>
      <c r="T25" s="72" t="n">
        <v>1</v>
      </c>
      <c r="U25" s="72" t="n">
        <v>1</v>
      </c>
      <c r="V25" s="72" t="n">
        <v>1</v>
      </c>
      <c r="W25" s="72" t="n">
        <v>1</v>
      </c>
      <c r="X25" s="72" t="n">
        <v>1</v>
      </c>
      <c r="Y25" s="76" t="s">
        <v>263</v>
      </c>
    </row>
    <row r="26" customFormat="false" ht="21.75" hidden="false" customHeight="true" outlineLevel="0" collapsed="false">
      <c r="A26" s="74" t="s">
        <v>247</v>
      </c>
      <c r="B26" s="75" t="s">
        <v>262</v>
      </c>
      <c r="C26" s="74" t="s">
        <v>248</v>
      </c>
      <c r="D26" s="68" t="n">
        <v>2</v>
      </c>
      <c r="E26" s="69" t="n">
        <v>0.1</v>
      </c>
      <c r="F26" s="70" t="n">
        <f aca="false">D26*(1+E26)</f>
        <v>2.2</v>
      </c>
      <c r="G26" s="74" t="s">
        <v>258</v>
      </c>
      <c r="H26" s="76"/>
      <c r="K26" s="64" t="s">
        <v>264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customFormat="false" ht="21.75" hidden="false" customHeight="true" outlineLevel="0" collapsed="false">
      <c r="A27" s="64" t="s">
        <v>264</v>
      </c>
      <c r="B27" s="65"/>
      <c r="C27" s="65"/>
      <c r="D27" s="65"/>
      <c r="E27" s="65"/>
      <c r="F27" s="65"/>
      <c r="G27" s="65"/>
      <c r="H27" s="65"/>
      <c r="K27" s="66"/>
      <c r="L27" s="67" t="s">
        <v>265</v>
      </c>
      <c r="M27" s="68" t="n">
        <f aca="false">D28</f>
        <v>0.1</v>
      </c>
      <c r="N27" s="69" t="n">
        <f aca="false">E28</f>
        <v>0.1</v>
      </c>
      <c r="O27" s="70" t="n">
        <f aca="false">F28</f>
        <v>0.11</v>
      </c>
      <c r="P27" s="71" t="n">
        <v>0</v>
      </c>
      <c r="Q27" s="71" t="n">
        <v>0</v>
      </c>
      <c r="R27" s="71" t="n">
        <v>0</v>
      </c>
      <c r="S27" s="71" t="n">
        <v>0</v>
      </c>
      <c r="T27" s="71" t="n">
        <v>0</v>
      </c>
      <c r="U27" s="71" t="n">
        <v>0</v>
      </c>
      <c r="V27" s="72" t="n">
        <v>1</v>
      </c>
      <c r="W27" s="71" t="n">
        <v>0</v>
      </c>
      <c r="X27" s="71" t="n">
        <v>0</v>
      </c>
      <c r="Y27" s="73" t="s">
        <v>266</v>
      </c>
    </row>
    <row r="28" customFormat="false" ht="21.75" hidden="false" customHeight="true" outlineLevel="0" collapsed="false">
      <c r="A28" s="66" t="s">
        <v>267</v>
      </c>
      <c r="B28" s="67" t="s">
        <v>265</v>
      </c>
      <c r="C28" s="66" t="s">
        <v>268</v>
      </c>
      <c r="D28" s="68" t="n">
        <v>0.1</v>
      </c>
      <c r="E28" s="69" t="n">
        <v>0.1</v>
      </c>
      <c r="F28" s="70" t="n">
        <f aca="false">D28*(1+E28)</f>
        <v>0.11</v>
      </c>
      <c r="G28" s="66" t="s">
        <v>269</v>
      </c>
      <c r="H28" s="73"/>
      <c r="K28" s="66"/>
      <c r="L28" s="67" t="s">
        <v>270</v>
      </c>
      <c r="M28" s="68" t="n">
        <f aca="false">D29</f>
        <v>0</v>
      </c>
      <c r="N28" s="69" t="n">
        <f aca="false">E29</f>
        <v>0.1</v>
      </c>
      <c r="O28" s="70" t="n">
        <f aca="false">F29</f>
        <v>0</v>
      </c>
      <c r="P28" s="71" t="n">
        <v>0</v>
      </c>
      <c r="Q28" s="71" t="n">
        <v>0</v>
      </c>
      <c r="R28" s="71" t="n">
        <v>0</v>
      </c>
      <c r="S28" s="71" t="n">
        <v>0</v>
      </c>
      <c r="T28" s="71" t="n">
        <v>0</v>
      </c>
      <c r="U28" s="71" t="n">
        <v>0</v>
      </c>
      <c r="V28" s="72" t="n">
        <v>1</v>
      </c>
      <c r="W28" s="71" t="n">
        <v>0</v>
      </c>
      <c r="X28" s="71" t="n">
        <v>0</v>
      </c>
      <c r="Y28" s="73" t="s">
        <v>271</v>
      </c>
    </row>
    <row r="29" customFormat="false" ht="21.75" hidden="false" customHeight="true" outlineLevel="0" collapsed="false">
      <c r="A29" s="66" t="s">
        <v>267</v>
      </c>
      <c r="B29" s="67" t="s">
        <v>270</v>
      </c>
      <c r="C29" s="66" t="s">
        <v>268</v>
      </c>
      <c r="D29" s="68" t="n">
        <v>0</v>
      </c>
      <c r="E29" s="69" t="n">
        <v>0.1</v>
      </c>
      <c r="F29" s="70" t="n">
        <f aca="false">D29*(1+E29)</f>
        <v>0</v>
      </c>
      <c r="G29" s="66" t="s">
        <v>272</v>
      </c>
      <c r="H29" s="73"/>
      <c r="K29" s="66"/>
      <c r="L29" s="67" t="s">
        <v>273</v>
      </c>
      <c r="M29" s="68" t="n">
        <f aca="false">D30</f>
        <v>3</v>
      </c>
      <c r="N29" s="69" t="n">
        <f aca="false">E30</f>
        <v>0.1</v>
      </c>
      <c r="O29" s="70" t="n">
        <f aca="false">F30</f>
        <v>3.3</v>
      </c>
      <c r="P29" s="72" t="n">
        <v>1</v>
      </c>
      <c r="Q29" s="72" t="n">
        <v>1</v>
      </c>
      <c r="R29" s="72" t="n">
        <v>1</v>
      </c>
      <c r="S29" s="72" t="n">
        <v>1</v>
      </c>
      <c r="T29" s="72" t="n">
        <v>1</v>
      </c>
      <c r="U29" s="72" t="n">
        <v>1</v>
      </c>
      <c r="V29" s="72" t="n">
        <v>1</v>
      </c>
      <c r="W29" s="72" t="n">
        <v>1</v>
      </c>
      <c r="X29" s="72" t="n">
        <v>1</v>
      </c>
      <c r="Y29" s="73" t="s">
        <v>274</v>
      </c>
    </row>
    <row r="30" customFormat="false" ht="21.75" hidden="false" customHeight="true" outlineLevel="0" collapsed="false">
      <c r="A30" s="66" t="s">
        <v>267</v>
      </c>
      <c r="B30" s="67" t="s">
        <v>273</v>
      </c>
      <c r="C30" s="66" t="s">
        <v>275</v>
      </c>
      <c r="D30" s="68" t="n">
        <v>3</v>
      </c>
      <c r="E30" s="69" t="n">
        <v>0.1</v>
      </c>
      <c r="F30" s="70" t="n">
        <f aca="false">D30*(1+E30)</f>
        <v>3.3</v>
      </c>
      <c r="G30" s="66" t="s">
        <v>269</v>
      </c>
      <c r="H30" s="73"/>
      <c r="K30" s="64" t="s">
        <v>276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customFormat="false" ht="21.75" hidden="false" customHeight="true" outlineLevel="0" collapsed="false">
      <c r="A31" s="64" t="s">
        <v>276</v>
      </c>
      <c r="B31" s="65"/>
      <c r="C31" s="65"/>
      <c r="D31" s="65"/>
      <c r="E31" s="65"/>
      <c r="F31" s="65"/>
      <c r="G31" s="65"/>
      <c r="H31" s="65"/>
      <c r="K31" s="66"/>
      <c r="L31" s="67" t="s">
        <v>277</v>
      </c>
      <c r="M31" s="68" t="n">
        <f aca="false">D32</f>
        <v>6.3</v>
      </c>
      <c r="N31" s="69" t="n">
        <f aca="false">E32</f>
        <v>0.2</v>
      </c>
      <c r="O31" s="70" t="n">
        <f aca="false">F32</f>
        <v>7.56</v>
      </c>
      <c r="P31" s="71" t="n">
        <v>0</v>
      </c>
      <c r="Q31" s="72" t="n">
        <v>1</v>
      </c>
      <c r="R31" s="72" t="n">
        <v>1</v>
      </c>
      <c r="S31" s="72" t="n">
        <v>1</v>
      </c>
      <c r="T31" s="72" t="n">
        <v>1</v>
      </c>
      <c r="U31" s="72" t="n">
        <v>1</v>
      </c>
      <c r="V31" s="72" t="n">
        <v>1</v>
      </c>
      <c r="W31" s="72" t="n">
        <v>1</v>
      </c>
      <c r="X31" s="71" t="n">
        <v>0</v>
      </c>
      <c r="Y31" s="73" t="s">
        <v>278</v>
      </c>
    </row>
    <row r="32" customFormat="false" ht="21.75" hidden="false" customHeight="true" outlineLevel="0" collapsed="false">
      <c r="A32" s="66" t="s">
        <v>279</v>
      </c>
      <c r="B32" s="67" t="s">
        <v>277</v>
      </c>
      <c r="C32" s="66" t="s">
        <v>248</v>
      </c>
      <c r="D32" s="68" t="n">
        <v>6.3</v>
      </c>
      <c r="E32" s="69" t="n">
        <v>0.2</v>
      </c>
      <c r="F32" s="70" t="n">
        <f aca="false">D32*(1+E32)</f>
        <v>7.56</v>
      </c>
      <c r="G32" s="66" t="s">
        <v>272</v>
      </c>
      <c r="H32" s="73"/>
      <c r="K32" s="66"/>
      <c r="L32" s="67" t="s">
        <v>280</v>
      </c>
      <c r="M32" s="68" t="n">
        <f aca="false">D33</f>
        <v>2</v>
      </c>
      <c r="N32" s="69" t="n">
        <f aca="false">E33</f>
        <v>0.2</v>
      </c>
      <c r="O32" s="70" t="n">
        <f aca="false">F33</f>
        <v>2.4</v>
      </c>
      <c r="P32" s="72" t="n">
        <v>1</v>
      </c>
      <c r="Q32" s="71" t="n">
        <v>0</v>
      </c>
      <c r="R32" s="71" t="n">
        <v>0</v>
      </c>
      <c r="S32" s="71" t="n">
        <v>0</v>
      </c>
      <c r="T32" s="71" t="n">
        <v>0</v>
      </c>
      <c r="U32" s="71" t="n">
        <v>0</v>
      </c>
      <c r="V32" s="71" t="n">
        <v>0</v>
      </c>
      <c r="W32" s="71" t="n">
        <v>0</v>
      </c>
      <c r="X32" s="72" t="n">
        <v>1</v>
      </c>
      <c r="Y32" s="73" t="s">
        <v>281</v>
      </c>
    </row>
    <row r="33" customFormat="false" ht="21.75" hidden="false" customHeight="true" outlineLevel="0" collapsed="false">
      <c r="A33" s="66" t="s">
        <v>279</v>
      </c>
      <c r="B33" s="67" t="s">
        <v>280</v>
      </c>
      <c r="C33" s="66" t="s">
        <v>282</v>
      </c>
      <c r="D33" s="68" t="n">
        <v>2</v>
      </c>
      <c r="E33" s="69" t="n">
        <v>0.2</v>
      </c>
      <c r="F33" s="70" t="n">
        <f aca="false">D33*(1+E33)</f>
        <v>2.4</v>
      </c>
      <c r="G33" s="66" t="s">
        <v>223</v>
      </c>
      <c r="H33" s="73"/>
      <c r="K33" s="64" t="s">
        <v>283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customFormat="false" ht="21.75" hidden="false" customHeight="true" outlineLevel="0" collapsed="false">
      <c r="A34" s="64" t="s">
        <v>283</v>
      </c>
      <c r="B34" s="65"/>
      <c r="C34" s="65"/>
      <c r="D34" s="65"/>
      <c r="E34" s="65"/>
      <c r="F34" s="65"/>
      <c r="G34" s="65"/>
      <c r="H34" s="65"/>
      <c r="K34" s="66"/>
      <c r="L34" s="67" t="s">
        <v>284</v>
      </c>
      <c r="M34" s="68" t="n">
        <f aca="false">D35</f>
        <v>511.0513784</v>
      </c>
      <c r="N34" s="69" t="n">
        <f aca="false">E35</f>
        <v>0.3</v>
      </c>
      <c r="O34" s="70" t="n">
        <f aca="false">F35</f>
        <v>664.36679192</v>
      </c>
      <c r="P34" s="71" t="n">
        <v>0</v>
      </c>
      <c r="Q34" s="71" t="n">
        <v>0</v>
      </c>
      <c r="R34" s="71" t="n">
        <v>0</v>
      </c>
      <c r="S34" s="71" t="n">
        <v>0</v>
      </c>
      <c r="T34" s="71" t="n">
        <v>0</v>
      </c>
      <c r="U34" s="71" t="n">
        <v>0</v>
      </c>
      <c r="V34" s="71" t="n">
        <v>0</v>
      </c>
      <c r="W34" s="72" t="n">
        <v>1</v>
      </c>
      <c r="X34" s="71" t="n">
        <v>0</v>
      </c>
      <c r="Y34" s="73" t="s">
        <v>285</v>
      </c>
    </row>
    <row r="35" customFormat="false" ht="21.75" hidden="false" customHeight="true" outlineLevel="0" collapsed="false">
      <c r="A35" s="66" t="s">
        <v>286</v>
      </c>
      <c r="B35" s="67" t="s">
        <v>284</v>
      </c>
      <c r="C35" s="66" t="s">
        <v>287</v>
      </c>
      <c r="D35" s="78" t="n">
        <v>511.0513784</v>
      </c>
      <c r="E35" s="69" t="n">
        <v>0.3</v>
      </c>
      <c r="F35" s="70" t="n">
        <f aca="false">D35*(1+E35)</f>
        <v>664.36679192</v>
      </c>
      <c r="G35" s="66" t="s">
        <v>288</v>
      </c>
      <c r="H35" s="73"/>
      <c r="K35" s="66"/>
      <c r="L35" s="67" t="s">
        <v>289</v>
      </c>
      <c r="M35" s="68" t="n">
        <f aca="false">D36</f>
        <v>10</v>
      </c>
      <c r="N35" s="69" t="n">
        <f aca="false">E36</f>
        <v>0.1</v>
      </c>
      <c r="O35" s="70" t="n">
        <f aca="false">F36</f>
        <v>11</v>
      </c>
      <c r="P35" s="72" t="n">
        <v>1</v>
      </c>
      <c r="Q35" s="72" t="n">
        <v>1</v>
      </c>
      <c r="R35" s="72" t="n">
        <v>1</v>
      </c>
      <c r="S35" s="72" t="n">
        <v>1</v>
      </c>
      <c r="T35" s="72" t="n">
        <v>1</v>
      </c>
      <c r="U35" s="72" t="n">
        <v>1</v>
      </c>
      <c r="V35" s="72" t="n">
        <v>1</v>
      </c>
      <c r="W35" s="72" t="n">
        <v>1</v>
      </c>
      <c r="X35" s="72" t="n">
        <v>1</v>
      </c>
      <c r="Y35" s="73" t="s">
        <v>290</v>
      </c>
    </row>
    <row r="36" customFormat="false" ht="21.75" hidden="false" customHeight="true" outlineLevel="0" collapsed="false">
      <c r="A36" s="66" t="s">
        <v>286</v>
      </c>
      <c r="B36" s="67" t="s">
        <v>289</v>
      </c>
      <c r="C36" s="66" t="s">
        <v>248</v>
      </c>
      <c r="D36" s="68" t="n">
        <v>10</v>
      </c>
      <c r="E36" s="69" t="n">
        <v>0.1</v>
      </c>
      <c r="F36" s="70" t="n">
        <f aca="false">D36*(1+E36)</f>
        <v>11</v>
      </c>
      <c r="G36" s="66" t="s">
        <v>288</v>
      </c>
      <c r="H36" s="73"/>
      <c r="K36" s="64" t="s">
        <v>291</v>
      </c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customFormat="false" ht="21.75" hidden="false" customHeight="true" outlineLevel="0" collapsed="false">
      <c r="A37" s="64" t="s">
        <v>291</v>
      </c>
      <c r="B37" s="65"/>
      <c r="C37" s="65"/>
      <c r="D37" s="65"/>
      <c r="E37" s="65"/>
      <c r="F37" s="65"/>
      <c r="G37" s="65"/>
      <c r="H37" s="65"/>
      <c r="K37" s="66"/>
      <c r="L37" s="67" t="s">
        <v>292</v>
      </c>
      <c r="M37" s="68" t="n">
        <f aca="false">D38</f>
        <v>193.509896692464</v>
      </c>
      <c r="N37" s="69" t="n">
        <f aca="false">E38</f>
        <v>0.1</v>
      </c>
      <c r="O37" s="70" t="n">
        <f aca="false">F38</f>
        <v>212.86088636171</v>
      </c>
      <c r="P37" s="72" t="n">
        <v>1</v>
      </c>
      <c r="Q37" s="72" t="n">
        <v>1</v>
      </c>
      <c r="R37" s="72" t="n">
        <v>1</v>
      </c>
      <c r="S37" s="72" t="n">
        <v>1</v>
      </c>
      <c r="T37" s="72" t="n">
        <v>1</v>
      </c>
      <c r="U37" s="72" t="n">
        <v>1</v>
      </c>
      <c r="V37" s="72" t="n">
        <v>1</v>
      </c>
      <c r="W37" s="72" t="n">
        <v>1</v>
      </c>
      <c r="X37" s="72" t="n">
        <v>1</v>
      </c>
      <c r="Y37" s="73" t="s">
        <v>293</v>
      </c>
    </row>
    <row r="38" customFormat="false" ht="21.75" hidden="false" customHeight="true" outlineLevel="0" collapsed="false">
      <c r="A38" s="66" t="s">
        <v>294</v>
      </c>
      <c r="B38" s="67" t="s">
        <v>292</v>
      </c>
      <c r="C38" s="66" t="s">
        <v>275</v>
      </c>
      <c r="D38" s="68" t="n">
        <f aca="false">Power!B104</f>
        <v>193.509896692464</v>
      </c>
      <c r="E38" s="69" t="n">
        <v>0.1</v>
      </c>
      <c r="F38" s="70" t="n">
        <f aca="false">D38*(1+E38)</f>
        <v>212.86088636171</v>
      </c>
      <c r="G38" s="66"/>
      <c r="H38" s="73"/>
    </row>
    <row r="39" customFormat="false" ht="21.75" hidden="false" customHeight="true" outlineLevel="0" collapsed="false">
      <c r="K39" s="79" t="s">
        <v>295</v>
      </c>
      <c r="L39" s="79"/>
      <c r="M39" s="79"/>
      <c r="N39" s="79"/>
      <c r="O39" s="79"/>
      <c r="P39" s="80" t="n">
        <f aca="false">M4*P4+M5*P5+M6*P6+M7*P7+M9*P9+M10*P10+M11*P11+M12*P12+M13*P13+M15*P15+M16*P16+M18*P18+M19*P19+M20*P20+M21*P21+M22*P22+M23*P23+M24*P24+M25*P25+M27*P27+M28*P28+M29*P29+M31*P31+M32*P32+M34*P34+M35*P35+M37*P37</f>
        <v>449.209896692464</v>
      </c>
      <c r="Q39" s="80" t="n">
        <f aca="false">M4*Q4+M5*Q5+M6*Q6+M7*Q7+M9*Q9+M10*Q10+M11*Q11+M12*Q12+M13*Q13+M15*Q15+M16*Q16+M18*Q18+M19*Q19+M20*Q20+M21*Q21+M22*Q22+M23*Q23+M24*Q24+M25*Q25+M27*Q27+M28*Q28+M29*Q29+M31*Q31+M32*Q32+M34*Q34+M35*Q35+M37*Q37</f>
        <v>483.509896692464</v>
      </c>
      <c r="R39" s="80" t="n">
        <f aca="false">M4*R4+M5*R5+M6*R6+M7*R7+M9*R9+M10*R10+M11*R11+M12*R12+M13*R13+M15*R15+M16*R16+M18*R18+M19*R19+M20*R20+M21*R21+M22*R22+M23*R23+M24*R24+M25*R25+M27*R27+M28*R28+M29*R29+M31*R31+M32*R32+M34*R34+M35*R35+M37*R37</f>
        <v>1162.00989669246</v>
      </c>
      <c r="S39" s="80" t="n">
        <f aca="false">M4*S4+M5*S5+M6*S6+M7*S7+M9*S9+M10*S10+M11*S11+M12*S12+M13*S13+M15*S15+M16*S16+M18*S18+M19*S19+M20*S20+M21*S21+M22*S22+M23*S23+M24*S24+M25*S25+M27*S27+M28*S28+M29*S29+M31*S31+M32*S32+M34*S34+M35*S35+M37*S37</f>
        <v>1204.60989669246</v>
      </c>
      <c r="T39" s="80" t="n">
        <f aca="false">M4*T4+M5*T5+M6*T6+M7*T7+M9*T9+M10*T10+M11*T11+M12*T12+M13*T13+M15*T15+M16*T16+M18*T18+M19*T19+M20*T20+M21*T21+M22*T22+M23*T23+M24*T24+M25*T25+M27*T27+M28*T28+M29*T29+M31*T31+M32*T32+M34*T34+M35*T35+M37*T37</f>
        <v>2614.60989669246</v>
      </c>
      <c r="U39" s="80" t="n">
        <f aca="false">M4*U4+M5*U5+M6*U6+M7*U7+M9*U9+M10*U10+M11*U11+M12*U12+M13*U13+M15*U15+M16*U16+M18*U18+M19*U19+M20*U20+M21*U21+M22*U22+M23*U23+M24*U24+M25*U25+M27*U27+M28*U28+M29*U29+M31*U31+M32*U32+M34*U34+M35*U35+M37*U37</f>
        <v>1129.60989669246</v>
      </c>
      <c r="V39" s="80" t="n">
        <f aca="false">M4*V4+M5*V5+M6*V6+M7*V7+M9*V9+M10*V10+M11*V11+M12*V12+M13*V13+M15*V15+M16*V16+M18*V18+M19*V19+M20*V20+M21*V21+M22*V22+M23*V23+M24*V24+M25*V25+M27*V27+M28*V28+M29*V29+M31*V31+M32*V32+M34*V34+M35*V35+M37*V37</f>
        <v>483.609896692464</v>
      </c>
      <c r="W39" s="80" t="n">
        <f aca="false">M4*W4+M5*W5+M6*W6+M7*W7+M9*W9+M10*W10+M11*W11+M12*W12+M13*W13+M15*W15+M16*W16+M18*W18+M19*W19+M20*W20+M21*W21+M22*W22+M23*W23+M24*W24+M25*W25+M27*W27+M28*W28+M29*W29+M31*W31+M32*W32+M34*W34+M35*W35+M37*W37</f>
        <v>964.561275092464</v>
      </c>
      <c r="X39" s="80" t="n">
        <f aca="false">M4*X4+M5*X5+M6*X6+M7*X7+M9*X9+M10*X10+M11*X11+M12*X12+M13*X13+M15*X15+M16*X16+M18*X18+M19*X19+M20*X20+M21*X21+M22*X22+M23*X23+M24*X24+M25*X25+M27*X27+M28*X28+M29*X29+M31*X31+M32*X32+M34*X34+M35*X35+M37*X37</f>
        <v>434.209896692464</v>
      </c>
      <c r="Y39" s="81" t="s">
        <v>296</v>
      </c>
    </row>
    <row r="40" customFormat="false" ht="21.75" hidden="false" customHeight="true" outlineLevel="0" collapsed="false">
      <c r="A40" s="82"/>
      <c r="B40" s="82"/>
      <c r="C40" s="82"/>
      <c r="D40" s="82"/>
      <c r="E40" s="82"/>
      <c r="F40" s="82"/>
      <c r="G40" s="82"/>
      <c r="H40" s="83"/>
      <c r="K40" s="79" t="s">
        <v>297</v>
      </c>
      <c r="L40" s="79"/>
      <c r="M40" s="79"/>
      <c r="N40" s="79"/>
      <c r="O40" s="79"/>
      <c r="P40" s="84" t="n">
        <f aca="false">O4*P4+O5*P5+O6*P6+O7*P7+O9*P9+O10*P10+O11*P11+O12*P12+O13*P13+O15*P15+O16*P16+O18*P18+O19*P19+O20*P20+O21*P21+O22*P22+O23*P23+O24*P24+O25*P25+O27*P27+O28*P28+O29*P29+O31*P31+O32*P32+O34*P34+O35*P35+O37*P37</f>
        <v>494.33088636171</v>
      </c>
      <c r="Q40" s="84" t="n">
        <f aca="false">O4*Q4+O5*Q5+O6*Q6+O7*Q7+O9*Q9+O10*Q10+O11*Q11+O12*Q12+O13*Q13+O15*Q15+O16*Q16+O18*Q18+O19*Q19+O20*Q20+O21*Q21+O22*Q22+O23*Q23+O24*Q24+O25*Q25+O27*Q27+O28*Q28+O29*Q29+O31*Q31+O32*Q32+O34*Q34+O35*Q35+O37*Q37</f>
        <v>532.49088636171</v>
      </c>
      <c r="R40" s="84" t="n">
        <f aca="false">O4*R4+O5*R5+O6*R6+O7*R7+O9*R9+O10*R10+O11*R11+O12*R12+O13*R13+O15*R15+O16*R16+O18*R18+O19*R19+O20*R20+O21*R21+O22*R22+O23*R23+O24*R24+O25*R25+O27*R27+O28*R28+O29*R29+O31*R31+O32*R32+O34*R34+O35*R35+O37*R37</f>
        <v>1278.84088636171</v>
      </c>
      <c r="S40" s="84" t="n">
        <f aca="false">O4*S4+O5*S5+O6*S6+O7*S7+O9*S9+O10*S10+O11*S11+O12*S12+O13*S13+O15*S15+O16*S16+O18*S18+O19*S19+O20*S20+O21*S21+O22*S22+O23*S23+O24*S24+O25*S25+O27*S27+O28*S28+O29*S29+O31*S31+O32*S32+O34*S34+O35*S35+O37*S37</f>
        <v>1330.70088636171</v>
      </c>
      <c r="T40" s="84" t="n">
        <f aca="false">O4*T4+O5*T5+O6*T6+O7*T7+O9*T9+O10*T10+O11*T11+O12*T12+O13*T13+O15*T15+O16*T16+O18*T18+O19*T19+O20*T20+O21*T21+O22*T22+O23*T23+O24*T24+O25*T25+O27*T27+O28*T28+O29*T29+O31*T31+O32*T32+O34*T34+O35*T35+O37*T37</f>
        <v>2876.70088636171</v>
      </c>
      <c r="U40" s="84" t="n">
        <f aca="false">O4*U4+O5*U5+O6*U6+O7*U7+O9*U9+O10*U10+O11*U11+O12*U12+O13*U13+O15*U15+O16*U16+O18*U18+O19*U19+O20*U20+O21*U21+O22*U22+O23*U23+O24*U24+O25*U25+O27*U27+O28*U28+O29*U29+O31*U31+O32*U32+O34*U34+O35*U35+O37*U37</f>
        <v>1243.20088636171</v>
      </c>
      <c r="V40" s="84" t="n">
        <f aca="false">O4*V4+O5*V5+O6*V6+O7*V7+O9*V9+O10*V10+O11*V11+O12*V12+O13*V13+O15*V15+O16*V16+O18*V18+O19*V19+O20*V20+O21*V21+O22*V22+O23*V23+O24*V24+O25*V25+O27*V27+O28*V28+O29*V29+O31*V31+O32*V32+O34*V34+O35*V35+O37*V37</f>
        <v>532.60088636171</v>
      </c>
      <c r="W40" s="84" t="n">
        <f aca="false">O4*W4+O5*W5+O6*W6+O7*W7+O9*W9+O10*W10+O11*W11+O12*W12+O13*W13+O15*W15+O16*W16+O18*W18+O19*W19+O20*W20+O21*W21+O22*W22+O23*W23+O24*W24+O25*W25+O27*W27+O28*W28+O29*W29+O31*W31+O32*W32+O34*W34+O35*W35+O37*W37</f>
        <v>1163.85767828171</v>
      </c>
      <c r="X40" s="84" t="n">
        <f aca="false">O4*X4+O5*X5+O6*X6+O7*X7+O9*X9+O10*X10+O11*X11+O12*X12+O13*X13+O15*X15+O16*X16+O18*X18+O19*X19+O20*X20+O21*X21+O22*X22+O23*X23+O24*X24+O25*X25+O27*X27+O28*X28+O29*X29+O31*X31+O32*X32+O34*X34+O35*X35+O37*X37</f>
        <v>477.83088636171</v>
      </c>
      <c r="Y40" s="81" t="s">
        <v>298</v>
      </c>
    </row>
    <row r="41" customFormat="false" ht="21.75" hidden="false" customHeight="true" outlineLevel="0" collapsed="false">
      <c r="A41" s="82"/>
      <c r="B41" s="82"/>
      <c r="C41" s="82"/>
      <c r="D41" s="82"/>
      <c r="E41" s="82"/>
      <c r="F41" s="82"/>
      <c r="G41" s="82"/>
      <c r="H41" s="83"/>
      <c r="K41" s="85" t="s">
        <v>299</v>
      </c>
      <c r="L41" s="85"/>
      <c r="M41" s="85"/>
      <c r="N41" s="85"/>
      <c r="O41" s="85"/>
      <c r="P41" s="86" t="n">
        <f aca="false">(O4*P4+O5*P5+O6*P6+O7*P7+O9*P9+O10*P10+O11*P11+O12*P12+O13*P13+O15*P15+O16*P16+O18*P18+O19*P19+O20*P20+O21*P21+O22*P22+O23*P23+O24*P24+O25*P25+O27*P27+O28*P28+O29*P29+O31*P31+O32*P32+O34*P34+O35*P35+O37*P37)*1.3</f>
        <v>642.630152270223</v>
      </c>
      <c r="Q41" s="86" t="n">
        <f aca="false">(O4*Q4+O5*Q5+O6*Q6+O7*Q7+O9*Q9+O10*Q10+O11*Q11+O12*Q12+O13*Q13+O15*Q15+O16*Q16+O18*Q18+O19*Q19+O20*Q20+O21*Q21+O22*Q22+O23*Q23+O24*Q24+O25*Q25+O27*Q27+O28*Q28+O29*Q29+O31*Q31+O32*Q32+O34*Q34+O35*Q35+O37*Q37)*1.3</f>
        <v>692.238152270223</v>
      </c>
      <c r="R41" s="86" t="n">
        <f aca="false">(O4*R4+O5*R5+O6*R6+O7*R7+O9*R9+O10*R10+O11*R11+O12*R12+O13*R13+O15*R15+O16*R16+O18*R18+O19*R19+O20*R20+O21*R21+O22*R22+O23*R23+O24*R24+O25*R25+O27*R27+O28*R28+O29*R29+O31*R31+O32*R32+O34*R34+O35*R35+O37*R37)*1.3</f>
        <v>1662.49315227022</v>
      </c>
      <c r="S41" s="86" t="n">
        <f aca="false">(O4*S4+O5*S5+O6*S6+O7*S7+O9*S9+O10*S10+O11*S11+O12*S12+O13*S13+O15*S15+O16*S16+O18*S18+O19*S19+O20*S20+O21*S21+O22*S22+O23*S23+O24*S24+O25*S25+O27*S27+O28*S28+O29*S29+O31*S31+O32*S32+O34*S34+O35*S35+O37*S37)*1.3</f>
        <v>1729.91115227022</v>
      </c>
      <c r="T41" s="87" t="n">
        <f aca="false">(O4*T4+O5*T5+O6*T6+O7*T7+O9*T9+O10*T10+O11*T11+O12*T12+O13*T13+O15*T15+O16*T16+O18*T18+O19*T19+O20*T20+O21*T21+O22*T22+O23*T23+O24*T24+O25*T25+O27*T27+O28*T28+O29*T29+O31*T31+O32*T32+O34*T34+O35*T35+O37*T37)*1.3</f>
        <v>3739.71115227022</v>
      </c>
      <c r="U41" s="86" t="n">
        <f aca="false">(O4*U4+O5*U5+O6*U6+O7*U7+O9*U9+O10*U10+O11*U11+O12*U12+O13*U13+O15*U15+O16*U16+O18*U18+O19*U19+O20*U20+O21*U21+O22*U22+O23*U23+O24*U24+O25*U25+O27*U27+O28*U28+O29*U29+O31*U31+O32*U32+O34*U34+O35*U35+O37*U37)*1.3</f>
        <v>1616.16115227022</v>
      </c>
      <c r="V41" s="86" t="n">
        <f aca="false">(O4*V4+O5*V5+O6*V6+O7*V7+O9*V9+O10*V10+O11*V11+O12*V12+O13*V13+O15*V15+O16*V16+O18*V18+O19*V19+O20*V20+O21*V21+O22*V22+O23*V23+O24*V24+O25*V25+O27*V27+O28*V28+O29*V29+O31*V31+O32*V32+O34*V34+O35*V35+O37*V37)*1.3</f>
        <v>692.381152270223</v>
      </c>
      <c r="W41" s="87" t="n">
        <f aca="false">(O4*W4+O5*W5+O6*W6+O7*W7+O9*W9+O10*W10+O11*W11+O12*W12+O13*W13+O15*W15+O16*W16+O18*W18+O19*W19+O20*W20+O21*W21+O22*W22+O23*W23+O24*W24+O25*W25+O27*W27+O28*W28+O29*W29+O31*W31+O32*W32+O34*W34+O35*W35+O37*W37)*1.3</f>
        <v>1513.01498176622</v>
      </c>
      <c r="X41" s="86" t="n">
        <f aca="false">(O4*X4+O5*X5+O6*X6+O7*X7+O9*X9+O10*X10+O11*X11+O12*X12+O13*X13+O15*X15+O16*X16+O18*X18+O19*X19+O20*X20+O21*X21+O22*X22+O23*X23+O24*X24+O25*X25+O27*X27+O28*X28+O29*X29+O31*X31+O32*X32+O34*X34+O35*X35+O37*X37)*1.3</f>
        <v>621.180152270223</v>
      </c>
      <c r="Y41" s="81" t="s">
        <v>300</v>
      </c>
    </row>
    <row r="42" customFormat="false" ht="21.75" hidden="false" customHeight="true" outlineLevel="0" collapsed="false">
      <c r="A42" s="82"/>
      <c r="B42" s="82"/>
      <c r="C42" s="82"/>
      <c r="D42" s="82"/>
      <c r="E42" s="82"/>
      <c r="F42" s="82"/>
      <c r="G42" s="82"/>
      <c r="H42" s="83"/>
      <c r="K42" s="88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/>
    </row>
    <row r="43" customFormat="false" ht="21.75" hidden="false" customHeight="true" outlineLevel="0" collapsed="false">
      <c r="A43" s="82"/>
      <c r="B43" s="82"/>
      <c r="C43" s="82"/>
      <c r="D43" s="82"/>
      <c r="E43" s="82"/>
      <c r="F43" s="82"/>
      <c r="G43" s="82"/>
      <c r="H43" s="83"/>
      <c r="K43" s="79" t="s">
        <v>301</v>
      </c>
      <c r="L43" s="79"/>
      <c r="M43" s="79"/>
      <c r="N43" s="79"/>
      <c r="O43" s="79"/>
      <c r="P43" s="91" t="n">
        <f aca="false">-M15*P15-M27*P27+M4*P4+M5*P5+M6*P6+M7*P7+M9*P9+M10*P10+M11*P11+M12*P12+M13*P13+M15*P15+M16*P16+M18*P18+M19*P19+M20*P20+M21*P21+M22*P22+M23*P23+M24*P24+M25*P25+M27*P27+M28*P28+M29*P29+M31*P31+M32*P32+M34*P34+M35*P35+M37*P37</f>
        <v>449.209896692464</v>
      </c>
      <c r="Q43" s="91" t="n">
        <f aca="false">-M15*Q15-M27*Q27+M4*Q4+M5*Q5+M6*Q6+M7*Q7+M9*Q9+M10*Q10+M11*Q11+M12*Q12+M13*Q13+M15*Q15+M16*Q16+M18*Q18+M19*Q19+M20*Q20+M21*Q21+M22*Q22+M23*Q23+M24*Q24+M25*Q25+M27*Q27+M28*Q28+M29*Q29+M31*Q31+M32*Q32+M34*Q34+M35*Q35+M37*Q37</f>
        <v>483.509896692464</v>
      </c>
      <c r="R43" s="91" t="n">
        <f aca="false">-M15*R15-M27*R27+M4*R4+M5*R5+M6*R6+M7*R7+M9*R9+M10*R10+M11*R11+M12*R12+M13*R13+M15*R15+M16*R16+M18*R18+M19*R19+M20*R20+M21*R21+M22*R22+M23*R23+M24*R24+M25*R25+M27*R27+M28*R28+M29*R29+M31*R31+M32*R32+M34*R34+M35*R35+M37*R37</f>
        <v>1162.00989669246</v>
      </c>
      <c r="S43" s="91" t="n">
        <f aca="false">-M15*S15-M27*S27+M4*S4+M5*S5+M6*S6+M7*S7+M9*S9+M10*S10+M11*S11+M12*S12+M13*S13+M15*S15+M16*S16+M18*S18+M19*S19+M20*S20+M21*S21+M22*S22+M23*S23+M24*S24+M25*S25+M27*S27+M28*S28+M29*S29+M31*S31+M32*S32+M34*S34+M35*S35+M37*S37</f>
        <v>1204.60989669246</v>
      </c>
      <c r="T43" s="91" t="n">
        <f aca="false">-M15*T15-M27*T27+M4*T4+M5*T5+M6*T6+M7*T7+M9*T9+M10*T10+M11*T11+M12*T12+M13*T13+M15*T15+M16*T16+M18*T18+M19*T19+M20*T20+M21*T21+M22*T22+M23*T23+M24*T24+M25*T25+M27*T27+M28*T28+M29*T29+M31*T31+M32*T32+M34*T34+M35*T35+M37*T37</f>
        <v>1264.60989669246</v>
      </c>
      <c r="U43" s="91" t="n">
        <f aca="false">-M15*U15-M27*U27+M4*U4+M5*U5+M6*U6+M7*U7+M9*U9+M10*U10+M11*U11+M12*U12+M13*U13+M15*U15+M16*U16+M18*U18+M19*U19+M20*U20+M21*U21+M22*U22+M23*U23+M24*U24+M25*U25+M27*U27+M28*U28+M29*U29+M31*U31+M32*U32+M34*U34+M35*U35+M37*U37</f>
        <v>1129.60989669246</v>
      </c>
      <c r="V43" s="91" t="n">
        <f aca="false">-M15*V15-M27*V27+M4*V4+M5*V5+M6*V6+M7*V7+M9*V9+M10*V10+M11*V11+M12*V12+M13*V13+M15*V15+M16*V16+M18*V18+M19*V19+M20*V20+M21*V21+M22*V22+M23*V23+M24*V24+M25*V25+M27*V27+M28*V28+M29*V29+M31*V31+M32*V32+M34*V34+M35*V35+M37*V37</f>
        <v>483.509896692464</v>
      </c>
      <c r="W43" s="91" t="n">
        <f aca="false">-M15*W15-M27*W27+M4*W4+M5*W5+M6*W6+M7*W7+M9*W9+M10*W10+M11*W11+M12*W12+M13*W13+M15*W15+M16*W16+M18*W18+M19*W19+M20*W20+M21*W21+M22*W22+M23*W23+M24*W24+M25*W25+M27*W27+M28*W28+M29*W29+M31*W31+M32*W32+M34*W34+M35*W35+M37*W37</f>
        <v>964.561275092464</v>
      </c>
      <c r="X43" s="91" t="n">
        <f aca="false">-M15*X15-M27*X27+M4*X4+M5*X5+M6*X6+M7*X7+M9*X9+M10*X10+M11*X11+M12*X12+M13*X13+M15*X15+M16*X16+M18*X18+M19*X19+M20*X20+M21*X21+M22*X22+M23*X23+M24*X24+M25*X25+M27*X27+M28*X28+M29*X29+M31*X31+M32*X32+M34*X34+M35*X35+M37*X37</f>
        <v>434.209896692464</v>
      </c>
      <c r="Y43" s="81" t="s">
        <v>302</v>
      </c>
    </row>
    <row r="44" customFormat="false" ht="21.75" hidden="false" customHeight="true" outlineLevel="0" collapsed="false">
      <c r="A44" s="82"/>
      <c r="B44" s="82"/>
      <c r="C44" s="82"/>
      <c r="D44" s="82"/>
      <c r="E44" s="82"/>
      <c r="F44" s="82"/>
      <c r="G44" s="82"/>
      <c r="H44" s="83"/>
      <c r="K44" s="79" t="s">
        <v>303</v>
      </c>
      <c r="L44" s="79"/>
      <c r="M44" s="79"/>
      <c r="N44" s="79"/>
      <c r="O44" s="79"/>
      <c r="P44" s="91" t="n">
        <f aca="false">P43-M34*P34</f>
        <v>449.209896692464</v>
      </c>
      <c r="Q44" s="91" t="n">
        <f aca="false">Q43-M34*Q34</f>
        <v>483.509896692464</v>
      </c>
      <c r="R44" s="91" t="n">
        <f aca="false">R43-M34*R34</f>
        <v>1162.00989669246</v>
      </c>
      <c r="S44" s="91" t="n">
        <f aca="false">S43-M34*S34</f>
        <v>1204.60989669246</v>
      </c>
      <c r="T44" s="91" t="n">
        <f aca="false">T43-M34*T34</f>
        <v>1264.60989669246</v>
      </c>
      <c r="U44" s="91" t="n">
        <f aca="false">U43-M34*U34</f>
        <v>1129.60989669246</v>
      </c>
      <c r="V44" s="91" t="n">
        <f aca="false">V43-M34*V34</f>
        <v>483.509896692464</v>
      </c>
      <c r="W44" s="91" t="n">
        <f aca="false">W43-M34*W34</f>
        <v>453.509896692464</v>
      </c>
      <c r="X44" s="91" t="n">
        <f aca="false">X43-M34*X34</f>
        <v>434.209896692464</v>
      </c>
      <c r="Y44" s="81" t="s">
        <v>304</v>
      </c>
    </row>
    <row r="45" customFormat="false" ht="15.75" hidden="false" customHeight="false" outlineLevel="0" collapsed="false">
      <c r="A45" s="82"/>
      <c r="B45" s="82"/>
      <c r="C45" s="82"/>
      <c r="D45" s="82"/>
      <c r="E45" s="82"/>
      <c r="F45" s="82"/>
      <c r="G45" s="82"/>
      <c r="H45" s="8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</row>
    <row r="46" customFormat="false" ht="15.75" hidden="false" customHeight="false" outlineLevel="0" collapsed="false">
      <c r="C46" s="82"/>
      <c r="D46" s="82"/>
      <c r="E46" s="82"/>
      <c r="F46" s="82"/>
      <c r="G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</row>
    <row r="47" customFormat="false" ht="15.75" hidden="false" customHeight="false" outlineLevel="0" collapsed="false">
      <c r="C47" s="82"/>
      <c r="D47" s="82"/>
      <c r="E47" s="82"/>
      <c r="F47" s="82"/>
      <c r="G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</row>
    <row r="48" customFormat="false" ht="15.75" hidden="false" customHeight="false" outlineLevel="0" collapsed="false">
      <c r="C48" s="82"/>
      <c r="D48" s="82"/>
      <c r="E48" s="82"/>
      <c r="F48" s="82"/>
      <c r="G48" s="82"/>
    </row>
    <row r="49" customFormat="false" ht="15.75" hidden="false" customHeight="false" outlineLevel="0" collapsed="false">
      <c r="C49" s="82"/>
      <c r="D49" s="82"/>
      <c r="E49" s="82"/>
      <c r="F49" s="82"/>
      <c r="G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</row>
    <row r="50" customFormat="false" ht="14.25" hidden="false" customHeight="true" outlineLevel="0" collapsed="false">
      <c r="N50" s="82"/>
    </row>
    <row r="51" customFormat="false" ht="14.25" hidden="false" customHeight="true" outlineLevel="0" collapsed="false"/>
    <row r="52" customFormat="false" ht="14.25" hidden="false" customHeight="true" outlineLevel="0" collapsed="false">
      <c r="Y52" s="92"/>
      <c r="Z52" s="92"/>
    </row>
    <row r="53" customFormat="false" ht="14.25" hidden="false" customHeight="true" outlineLevel="0" collapsed="false">
      <c r="Y53" s="92"/>
      <c r="Z53" s="92"/>
    </row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37.5" hidden="false" customHeight="true" outlineLevel="0" collapsed="false"/>
    <row r="89" customFormat="false" ht="14.2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mergeCells count="16">
    <mergeCell ref="A1:E1"/>
    <mergeCell ref="K1:X1"/>
    <mergeCell ref="A2:E2"/>
    <mergeCell ref="K3:L3"/>
    <mergeCell ref="K8:Y8"/>
    <mergeCell ref="K14:Y14"/>
    <mergeCell ref="K17:Y17"/>
    <mergeCell ref="K26:Y26"/>
    <mergeCell ref="K30:Y30"/>
    <mergeCell ref="K33:Y33"/>
    <mergeCell ref="K36:Y36"/>
    <mergeCell ref="K39:O39"/>
    <mergeCell ref="K40:O40"/>
    <mergeCell ref="K41:O41"/>
    <mergeCell ref="K43:O43"/>
    <mergeCell ref="K44:O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2026-10-10T21:43:05Z</dcterms:created>
  <dc:creator>openpyxl</dc:creator>
  <dc:description/>
  <dc:language>en-US</dc:language>
  <cp:lastModifiedBy/>
  <dcterms:modified xsi:type="dcterms:W3CDTF">2026-10-10T21:43:05Z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